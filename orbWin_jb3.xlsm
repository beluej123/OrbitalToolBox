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lue\Documents\Data\OrbWin\"/>
    </mc:Choice>
  </mc:AlternateContent>
  <xr:revisionPtr revIDLastSave="0" documentId="13_ncr:1_{5178EF1C-5C2A-494B-98B9-BD20EA4D3DF7}" xr6:coauthVersionLast="47" xr6:coauthVersionMax="47" xr10:uidLastSave="{00000000-0000-0000-0000-000000000000}"/>
  <bookViews>
    <workbookView xWindow="5895" yWindow="3915" windowWidth="21600" windowHeight="11385" tabRatio="818" activeTab="7" xr2:uid="{4F38CFDB-1A02-4638-B19C-8BD4AA487D5C}"/>
  </bookViews>
  <sheets>
    <sheet name="HelpNotes" sheetId="2" r:id="rId1"/>
    <sheet name="WS_Navigation" sheetId="3" r:id="rId2"/>
    <sheet name="MainMenu" sheetId="4" r:id="rId3"/>
    <sheet name="1_OrbDefCalc" sheetId="5" r:id="rId4"/>
    <sheet name="2_ParmPoint" sheetId="9" r:id="rId5"/>
    <sheet name="3_GndTrack" sheetId="15" r:id="rId6"/>
    <sheet name="4_PlanePertur" sheetId="17" r:id="rId7"/>
    <sheet name="5_Utilities" sheetId="18" r:id="rId8"/>
    <sheet name="6_MissionPlan" sheetId="20" r:id="rId9"/>
    <sheet name="EphemTbls" sheetId="19" r:id="rId10"/>
    <sheet name="msnReport1" sheetId="16" r:id="rId11"/>
    <sheet name="AstroConstants" sheetId="7" r:id="rId12"/>
    <sheet name="UseCases" sheetId="8" r:id="rId13"/>
    <sheet name="M_Macros" sheetId="10" r:id="rId14"/>
  </sheets>
  <externalReferences>
    <externalReference r:id="rId15"/>
  </externalReferences>
  <definedNames>
    <definedName name="_xlnm._FilterDatabase" localSheetId="13" hidden="1">M_Macros!$A$9:$G$9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I51" i="20" l="1"/>
  <c r="I52" i="20" s="1"/>
  <c r="K52" i="20" s="1"/>
  <c r="I50" i="20"/>
  <c r="K50" i="20" s="1"/>
  <c r="I49" i="20"/>
  <c r="K49" i="20" s="1"/>
  <c r="F23" i="20"/>
  <c r="I30" i="20"/>
  <c r="J30" i="20" s="1"/>
  <c r="D32" i="20"/>
  <c r="D33" i="20" s="1"/>
  <c r="K32" i="20"/>
  <c r="I26" i="20"/>
  <c r="E13" i="20"/>
  <c r="I53" i="20" l="1"/>
  <c r="I54" i="20" s="1"/>
  <c r="K54" i="20" s="1"/>
  <c r="I55" i="20" s="1"/>
  <c r="I56" i="20" s="1"/>
  <c r="K51" i="20"/>
  <c r="F32" i="20"/>
  <c r="F33" i="20"/>
  <c r="I33" i="20"/>
  <c r="K56" i="20" l="1"/>
  <c r="E30" i="20"/>
  <c r="K33" i="20"/>
  <c r="I34" i="20"/>
  <c r="J26" i="20"/>
  <c r="I19" i="20"/>
  <c r="B13" i="4"/>
  <c r="B4" i="20"/>
  <c r="B3" i="20"/>
  <c r="N23" i="19"/>
  <c r="N24" i="19"/>
  <c r="N25" i="19"/>
  <c r="N26" i="19"/>
  <c r="N27" i="19"/>
  <c r="N28" i="19"/>
  <c r="N29" i="19"/>
  <c r="N30" i="19"/>
  <c r="N22" i="19"/>
  <c r="B12" i="19"/>
  <c r="B11" i="19"/>
  <c r="B10" i="19"/>
  <c r="B9" i="19"/>
  <c r="B4" i="19"/>
  <c r="K22" i="19"/>
  <c r="K23" i="19"/>
  <c r="K24" i="19"/>
  <c r="K26" i="19"/>
  <c r="K27" i="19"/>
  <c r="K28" i="19"/>
  <c r="K29" i="19"/>
  <c r="K30" i="19"/>
  <c r="K25" i="19"/>
  <c r="J23" i="19"/>
  <c r="L23" i="19" s="1"/>
  <c r="J24" i="19"/>
  <c r="L24" i="19" s="1"/>
  <c r="J25" i="19"/>
  <c r="L25" i="19" s="1"/>
  <c r="J26" i="19"/>
  <c r="L26" i="19" s="1"/>
  <c r="J27" i="19"/>
  <c r="L27" i="19" s="1"/>
  <c r="J28" i="19"/>
  <c r="L28" i="19" s="1"/>
  <c r="J29" i="19"/>
  <c r="L29" i="19" s="1"/>
  <c r="J30" i="19"/>
  <c r="L30" i="19" s="1"/>
  <c r="J22" i="19"/>
  <c r="L22" i="19" s="1"/>
  <c r="K23" i="9"/>
  <c r="K22" i="9"/>
  <c r="D129" i="19"/>
  <c r="E129" i="19"/>
  <c r="F129" i="19"/>
  <c r="G129" i="19"/>
  <c r="H129" i="19"/>
  <c r="C129" i="19"/>
  <c r="B3" i="19"/>
  <c r="O35" i="5"/>
  <c r="M35" i="5"/>
  <c r="K35" i="5"/>
  <c r="B12" i="4"/>
  <c r="C7" i="18"/>
  <c r="C6" i="18"/>
  <c r="B4" i="18"/>
  <c r="B3" i="18"/>
  <c r="B11" i="4"/>
  <c r="C7" i="17"/>
  <c r="C6" i="17"/>
  <c r="B4" i="17"/>
  <c r="B3" i="17"/>
  <c r="B8" i="4"/>
  <c r="B4" i="16"/>
  <c r="B3" i="16"/>
  <c r="B3" i="10"/>
  <c r="B3" i="8"/>
  <c r="B3" i="7"/>
  <c r="B3" i="15"/>
  <c r="B3" i="9"/>
  <c r="B3" i="5"/>
  <c r="J19" i="20" l="1"/>
  <c r="M19" i="20" s="1"/>
  <c r="K26" i="20"/>
  <c r="M26" i="20"/>
  <c r="L26" i="20"/>
  <c r="K34" i="20"/>
  <c r="O24" i="19"/>
  <c r="O23" i="19"/>
  <c r="O30" i="19"/>
  <c r="O29" i="19"/>
  <c r="O28" i="19"/>
  <c r="O27" i="19"/>
  <c r="O26" i="19"/>
  <c r="O25" i="19"/>
  <c r="O22" i="19"/>
  <c r="B3" i="4"/>
  <c r="B3" i="3"/>
  <c r="K19" i="20" l="1"/>
  <c r="B3" i="2"/>
  <c r="P19" i="20" l="1"/>
  <c r="O19" i="20"/>
  <c r="I35" i="20"/>
  <c r="L19" i="20"/>
  <c r="D34" i="20"/>
  <c r="B4" i="10"/>
  <c r="B4" i="8"/>
  <c r="B4" i="7"/>
  <c r="B4" i="15"/>
  <c r="B4" i="5"/>
  <c r="B4" i="9"/>
  <c r="B10" i="4"/>
  <c r="C6" i="15"/>
  <c r="C7" i="15"/>
  <c r="O50" i="9"/>
  <c r="M50" i="9"/>
  <c r="K50" i="9"/>
  <c r="B9" i="4"/>
  <c r="D40" i="20" l="1"/>
  <c r="D39" i="20"/>
  <c r="D35" i="20"/>
  <c r="D36" i="20" s="1"/>
  <c r="D37" i="20" s="1"/>
  <c r="D38" i="20" s="1"/>
  <c r="F38" i="20" s="1"/>
  <c r="D30" i="20"/>
  <c r="I47" i="20"/>
  <c r="I48" i="20"/>
  <c r="K48" i="20" s="1"/>
  <c r="I42" i="20"/>
  <c r="K42" i="20" s="1"/>
  <c r="I43" i="20"/>
  <c r="K43" i="20" s="1"/>
  <c r="I36" i="20"/>
  <c r="I37" i="20" s="1"/>
  <c r="C30" i="20" s="1"/>
  <c r="K30" i="20" s="1"/>
  <c r="L30" i="20" s="1"/>
  <c r="I40" i="20"/>
  <c r="I41" i="20"/>
  <c r="O21" i="9"/>
  <c r="M21" i="9"/>
  <c r="K21" i="9"/>
  <c r="C7" i="9"/>
  <c r="C6" i="9"/>
  <c r="O13" i="5"/>
  <c r="M13" i="5"/>
  <c r="K13" i="5"/>
  <c r="K47" i="20" l="1"/>
  <c r="I57" i="20"/>
  <c r="K57" i="20" s="1"/>
  <c r="F39" i="20"/>
  <c r="D41" i="20"/>
  <c r="I38" i="20"/>
  <c r="I39" i="20" s="1"/>
  <c r="I45" i="20" s="1"/>
  <c r="F40" i="20"/>
  <c r="D42" i="20"/>
  <c r="F42" i="20" s="1"/>
  <c r="O25" i="5"/>
  <c r="M25" i="5"/>
  <c r="K25" i="5"/>
  <c r="C7" i="5"/>
  <c r="F41" i="20" l="1"/>
  <c r="D43" i="20"/>
  <c r="F43" i="20" s="1"/>
  <c r="K45" i="20"/>
  <c r="K39" i="20"/>
  <c r="I44" i="20"/>
  <c r="I46" i="20" s="1"/>
  <c r="C6" i="5"/>
  <c r="K46" i="20" l="1"/>
  <c r="K44" i="20"/>
</calcChain>
</file>

<file path=xl/sharedStrings.xml><?xml version="1.0" encoding="utf-8"?>
<sst xmlns="http://schemas.openxmlformats.org/spreadsheetml/2006/main" count="3456" uniqueCount="1578">
  <si>
    <t>Navigate to Worksheet TOC (table of contents)</t>
  </si>
  <si>
    <t>nav:</t>
  </si>
  <si>
    <t>desc:</t>
  </si>
  <si>
    <t>link-up:</t>
  </si>
  <si>
    <t>Help &amp; Notes Worksheet (ws): including sources of wb data.</t>
  </si>
  <si>
    <t>Use this sheet to navigate to worksheet of interest</t>
  </si>
  <si>
    <t>Worksheet Navigation: TOC (table of contents)</t>
  </si>
  <si>
    <t>refresh hyper-links, run macro: lwsTOC, in WB_Conf module, in local or PERSONAL.XLSB</t>
  </si>
  <si>
    <t>ref#</t>
  </si>
  <si>
    <t>Worksheet Hyperlinks</t>
  </si>
  <si>
    <t>Worksheet Descriptions (from ws cell B2)</t>
  </si>
  <si>
    <t>HelpNotes</t>
  </si>
  <si>
    <t>WS_Navigation</t>
  </si>
  <si>
    <t>Note the many Excel files in SMAD by Wertz</t>
  </si>
  <si>
    <t>General collection of orbital tools</t>
  </si>
  <si>
    <t>Earth</t>
  </si>
  <si>
    <t>Eccentricity</t>
  </si>
  <si>
    <t>Semimajor axis</t>
  </si>
  <si>
    <t>True Anomaly 1</t>
  </si>
  <si>
    <t>True Anomaly 2</t>
  </si>
  <si>
    <t>Radius 2</t>
  </si>
  <si>
    <t>Radius 1</t>
  </si>
  <si>
    <t>Distances in km</t>
  </si>
  <si>
    <t>Angles in Degrees</t>
  </si>
  <si>
    <t>hp</t>
  </si>
  <si>
    <t>ha</t>
  </si>
  <si>
    <t>rp</t>
  </si>
  <si>
    <t>ra</t>
  </si>
  <si>
    <t>ecc</t>
  </si>
  <si>
    <t>a</t>
  </si>
  <si>
    <t>p</t>
  </si>
  <si>
    <t>r1</t>
  </si>
  <si>
    <t>r2</t>
  </si>
  <si>
    <t>ta1</t>
  </si>
  <si>
    <t>ta2</t>
  </si>
  <si>
    <t>Periapsis Radius</t>
  </si>
  <si>
    <t>Periapsis Altitude</t>
  </si>
  <si>
    <t>Apoapsis Radius</t>
  </si>
  <si>
    <t>Apoapsis Altitude</t>
  </si>
  <si>
    <t>Semimajor Axis</t>
  </si>
  <si>
    <t>vp</t>
  </si>
  <si>
    <t>va</t>
  </si>
  <si>
    <t>sec</t>
  </si>
  <si>
    <t>km</t>
  </si>
  <si>
    <t>deg</t>
  </si>
  <si>
    <t>Central Body:</t>
  </si>
  <si>
    <t>Orbit Type:</t>
  </si>
  <si>
    <t>Elliptical Orbit Definition</t>
  </si>
  <si>
    <t>Orbit Period</t>
  </si>
  <si>
    <t>Enter any two parameters:</t>
  </si>
  <si>
    <t>muEarth</t>
  </si>
  <si>
    <t>km^3/sec^2</t>
  </si>
  <si>
    <t>MainMenu</t>
  </si>
  <si>
    <t>AstroConstants</t>
  </si>
  <si>
    <t>Main Menu, organizing mission calculations</t>
  </si>
  <si>
    <t>Astronomical constants</t>
  </si>
  <si>
    <t>muMercury</t>
  </si>
  <si>
    <t>muVenus</t>
  </si>
  <si>
    <t>muSun</t>
  </si>
  <si>
    <t>muMars</t>
  </si>
  <si>
    <t>muJupiter</t>
  </si>
  <si>
    <t>muSaturn</t>
  </si>
  <si>
    <t>muNeptune</t>
  </si>
  <si>
    <t>muUranus</t>
  </si>
  <si>
    <t>muPluto</t>
  </si>
  <si>
    <t>Body</t>
  </si>
  <si>
    <t>Units</t>
  </si>
  <si>
    <t>Value</t>
  </si>
  <si>
    <t xml:space="preserve">km </t>
  </si>
  <si>
    <t>roSun</t>
  </si>
  <si>
    <t>roMercury</t>
  </si>
  <si>
    <t>roVenus</t>
  </si>
  <si>
    <t>roEarth</t>
  </si>
  <si>
    <t>roMars</t>
  </si>
  <si>
    <t>roJupiter</t>
  </si>
  <si>
    <t>roSaturn</t>
  </si>
  <si>
    <t>roUranus</t>
  </si>
  <si>
    <t>roNeptune</t>
  </si>
  <si>
    <t>roPluto</t>
  </si>
  <si>
    <t>main menu ws</t>
  </si>
  <si>
    <t>yellow=user entered data</t>
  </si>
  <si>
    <t>muMoon</t>
  </si>
  <si>
    <t>roMoon</t>
  </si>
  <si>
    <t>mu</t>
  </si>
  <si>
    <t>mu_units</t>
  </si>
  <si>
    <t>ro_units</t>
  </si>
  <si>
    <t>Sun</t>
  </si>
  <si>
    <t>Mercury</t>
  </si>
  <si>
    <t>Venus</t>
  </si>
  <si>
    <t>Mars</t>
  </si>
  <si>
    <t>Jupiter</t>
  </si>
  <si>
    <t>Saturn</t>
  </si>
  <si>
    <t>Uranus</t>
  </si>
  <si>
    <t>Neptune</t>
  </si>
  <si>
    <t>Pluto</t>
  </si>
  <si>
    <t>Moon</t>
  </si>
  <si>
    <t>Table1-Summary, Astro Constants</t>
  </si>
  <si>
    <t>Constants below are used by macro to load constants array used by macros</t>
  </si>
  <si>
    <t>Circular</t>
  </si>
  <si>
    <t>Parabolic</t>
  </si>
  <si>
    <t>Hyperbolic</t>
  </si>
  <si>
    <t>Below, dropdown list for Orbit Type</t>
  </si>
  <si>
    <t>Elliptical</t>
  </si>
  <si>
    <t>&lt;-list from AstroConstants ws</t>
  </si>
  <si>
    <t>ro</t>
  </si>
  <si>
    <t>hr</t>
  </si>
  <si>
    <t>yr</t>
  </si>
  <si>
    <t>misc calculations</t>
  </si>
  <si>
    <t>day</t>
  </si>
  <si>
    <t>elliptical calculation date:</t>
  </si>
  <si>
    <t>Circular Orbit Definition</t>
  </si>
  <si>
    <t>Enter any one parameter:</t>
  </si>
  <si>
    <t>circular calculation date:</t>
  </si>
  <si>
    <t>Altitude</t>
  </si>
  <si>
    <t>h</t>
  </si>
  <si>
    <t>r</t>
  </si>
  <si>
    <t>Radius</t>
  </si>
  <si>
    <t>Parabolic Orbit Definition</t>
  </si>
  <si>
    <t>parabolic calculation date:</t>
  </si>
  <si>
    <t>Hyperbolic Orbit Definition</t>
  </si>
  <si>
    <t>hyperbolic calculation date:</t>
  </si>
  <si>
    <t>Infinity Velocity</t>
  </si>
  <si>
    <t>vhe</t>
  </si>
  <si>
    <t>Asymptote Angle</t>
  </si>
  <si>
    <t>Semiminor Axis</t>
  </si>
  <si>
    <t>b</t>
  </si>
  <si>
    <t>beta</t>
  </si>
  <si>
    <t>Periapsis Velocity</t>
  </si>
  <si>
    <t>Circular Central Body</t>
  </si>
  <si>
    <t>Hyperbolic Central Body</t>
  </si>
  <si>
    <t>Elliptical Central Body</t>
  </si>
  <si>
    <t>Apoapsis Velocity</t>
  </si>
  <si>
    <t>Use case collection</t>
  </si>
  <si>
    <t>1_OrbDefCalc</t>
  </si>
  <si>
    <t>UseCases</t>
  </si>
  <si>
    <t>Orbit Velocity</t>
  </si>
  <si>
    <t>v</t>
  </si>
  <si>
    <t>Periapsis Velocity (escape)</t>
  </si>
  <si>
    <t>Semi-latus rectum</t>
  </si>
  <si>
    <t>slr</t>
  </si>
  <si>
    <t>km/s</t>
  </si>
  <si>
    <t>2_ParmPoint</t>
  </si>
  <si>
    <t>Velocity</t>
  </si>
  <si>
    <t>Flight Path Angle</t>
  </si>
  <si>
    <t>Time Since Periapsis</t>
  </si>
  <si>
    <t>Horizon Angle</t>
  </si>
  <si>
    <t>Central Angle</t>
  </si>
  <si>
    <t>Distance to Horizon</t>
  </si>
  <si>
    <t>Swath Width</t>
  </si>
  <si>
    <t>True Anomaly</t>
  </si>
  <si>
    <t>Elliptical Parameter Point Definition</t>
  </si>
  <si>
    <t>Given Elliptical Parameter Point</t>
  </si>
  <si>
    <t>Elliptical Parameter Point Calculation Results:</t>
  </si>
  <si>
    <t>Hyperbolic Parameter Point Definition</t>
  </si>
  <si>
    <t>Given Hyperbolic Parameter Point</t>
  </si>
  <si>
    <t>Hyperbolic Parameter Point Calculation Results:</t>
  </si>
  <si>
    <t>ta</t>
  </si>
  <si>
    <t>tp</t>
  </si>
  <si>
    <t>pap elliptical calculation date:</t>
  </si>
  <si>
    <t>pap hyperbolic calculation date:</t>
  </si>
  <si>
    <t>betaH</t>
  </si>
  <si>
    <t>alphaH</t>
  </si>
  <si>
    <t>dH</t>
  </si>
  <si>
    <t>Or, enter 2 radii &amp; 2 angles:</t>
  </si>
  <si>
    <t>gammaH</t>
  </si>
  <si>
    <t>Sw</t>
  </si>
  <si>
    <t>Manage / document macro usage</t>
  </si>
  <si>
    <t>M_Macros</t>
  </si>
  <si>
    <t>PERSONAL.XLSB</t>
  </si>
  <si>
    <t>calcOrb</t>
  </si>
  <si>
    <t>Sub calcOrb()  'orbit calculations top-level</t>
  </si>
  <si>
    <t>calcEOrb</t>
  </si>
  <si>
    <t>Sub calcEOrb(orbType As String) 'eliptical orbit calculations</t>
  </si>
  <si>
    <t>calcCOrb</t>
  </si>
  <si>
    <t>Sub calcCOrb(orbType)  'calculate circular orbit parameters</t>
  </si>
  <si>
    <t>calcPOrb</t>
  </si>
  <si>
    <t>Sub calcPOrb(orbType)  'calculate parabolic orbit parameters</t>
  </si>
  <si>
    <t>calcHOrb</t>
  </si>
  <si>
    <t>Sub calcHOrb(orbType)</t>
  </si>
  <si>
    <t>calcPAP</t>
  </si>
  <si>
    <t>asnVnArray</t>
  </si>
  <si>
    <t>Sub asnVnArray(vName As String, outV As Double, dArray() As Variant) 'assign variable from array</t>
  </si>
  <si>
    <t>updateConSummary</t>
  </si>
  <si>
    <t>Sub updateConSummary()  'update constantants summary table</t>
  </si>
  <si>
    <t>test_getAstroCon</t>
  </si>
  <si>
    <t>Sub test_getAstroCon()</t>
  </si>
  <si>
    <t>getAstroCon</t>
  </si>
  <si>
    <t>Sub getAstroCon(cBody As String, conArray() As Double) 'retrieve astro constants</t>
  </si>
  <si>
    <t>viewHideODB1</t>
  </si>
  <si>
    <t>Sub viewHideODB1()  'user choice view or hide orbit definition blocks</t>
  </si>
  <si>
    <t>viewHideODB</t>
  </si>
  <si>
    <t>Macro_Type</t>
  </si>
  <si>
    <t>Procedure Name</t>
  </si>
  <si>
    <t>Procedure Call</t>
  </si>
  <si>
    <t>Purpose</t>
  </si>
  <si>
    <t>VBA Module</t>
  </si>
  <si>
    <t>Filename</t>
  </si>
  <si>
    <t>Assign variable from array data</t>
  </si>
  <si>
    <t>Retrieve astro constants from constants ws</t>
  </si>
  <si>
    <t>Circular orbit parameter calculations from user input ws</t>
  </si>
  <si>
    <t>Parabolic orbit parameter calculations from user input ws</t>
  </si>
  <si>
    <t>Hyperbolic orbit calculations from user input ws</t>
  </si>
  <si>
    <t>Calculate orbit parameters at a point (PAP) from user input</t>
  </si>
  <si>
    <t>Update constants summary based on subordinate details in AstroConstants ws</t>
  </si>
  <si>
    <t>Orbit calculations from user input, orbit type, parameters</t>
  </si>
  <si>
    <t>Test the macro, get astro constants</t>
  </si>
  <si>
    <t>ha, hp</t>
  </si>
  <si>
    <t>hp, rp</t>
  </si>
  <si>
    <t>hp, ra</t>
  </si>
  <si>
    <t>ecc, hp</t>
  </si>
  <si>
    <t>a, hp</t>
  </si>
  <si>
    <t>hp, p</t>
  </si>
  <si>
    <t>ha, rp</t>
  </si>
  <si>
    <t>ha, ra</t>
  </si>
  <si>
    <t>ecc, ha</t>
  </si>
  <si>
    <t>a, ha</t>
  </si>
  <si>
    <t>ha, p</t>
  </si>
  <si>
    <t>ra, rp</t>
  </si>
  <si>
    <t>ecc, rp</t>
  </si>
  <si>
    <t>a, rp</t>
  </si>
  <si>
    <t>p, rp</t>
  </si>
  <si>
    <t>ecc, ra</t>
  </si>
  <si>
    <t>a, ra</t>
  </si>
  <si>
    <t>p, ra</t>
  </si>
  <si>
    <t>a, ecc</t>
  </si>
  <si>
    <t>ecc, p</t>
  </si>
  <si>
    <t>a, p</t>
  </si>
  <si>
    <t>Combinations: select 2 out of 7</t>
  </si>
  <si>
    <t>done</t>
  </si>
  <si>
    <t>insufficient parameter data</t>
  </si>
  <si>
    <t>Ellipse Definition Parameters</t>
  </si>
  <si>
    <t>a_setPDir</t>
  </si>
  <si>
    <t>Sub a_setPDir()  'set-up project directory structure</t>
  </si>
  <si>
    <t>Mod1b_Prj_Manage</t>
  </si>
  <si>
    <t>Set-up/verify project directory structure</t>
  </si>
  <si>
    <t>getProjDirs0</t>
  </si>
  <si>
    <t>Function getProjDirs0() As String() 'get project directory names</t>
  </si>
  <si>
    <t>a_exMData</t>
  </si>
  <si>
    <t>Sub a_exMData()  'extract module data</t>
  </si>
  <si>
    <t>Mod1c_Macro_Manage</t>
  </si>
  <si>
    <t>Extract module's procedure/macro data.</t>
  </si>
  <si>
    <t>test_ListMProc</t>
  </si>
  <si>
    <t>Sub test_ListMProc()  'test listMProc macro</t>
  </si>
  <si>
    <t>listMProc</t>
  </si>
  <si>
    <t>Sub listMProc(rWB As Workbook, wWS As Worksheet)  'list/extract module procedures in VBAProject</t>
  </si>
  <si>
    <t>mMacros</t>
  </si>
  <si>
    <t>Sub mMacros()  'manage workbook macros; defined in VBA Modules</t>
  </si>
  <si>
    <t>ListProcedures</t>
  </si>
  <si>
    <t>Sub ListProcedures()</t>
  </si>
  <si>
    <t>List all modules and their types in the workbook</t>
  </si>
  <si>
    <t>ProcKindString</t>
  </si>
  <si>
    <t>Function ProcKindString(ProcKind As VBIDE.vbext_ProcKind) As String</t>
  </si>
  <si>
    <t>ListModules</t>
  </si>
  <si>
    <t>Sub ListModules()</t>
  </si>
  <si>
    <t>ComponentTypeToString</t>
  </si>
  <si>
    <t>Function ComponentTypeToString(ComponentType As VBIDE.vbext_ComponentType) As String</t>
  </si>
  <si>
    <t>setPC_WS</t>
  </si>
  <si>
    <t>Sub setPC_WS()  'set-up/verify procedure catalog worksheets</t>
  </si>
  <si>
    <t>If active worksheet (ws) is not macro enabled, do not set buttons</t>
  </si>
  <si>
    <t>pCat_WSButton1</t>
  </si>
  <si>
    <t>Sub pCat_WSButton1()  'procedure catalog ws button#1</t>
  </si>
  <si>
    <t>Delete all buttons, then create.</t>
  </si>
  <si>
    <t>a_genWB_Config</t>
  </si>
  <si>
    <t>Sub a_genWB_Config()  'set-up general workbook (wb) configuration</t>
  </si>
  <si>
    <t>Mod1_WB_Config</t>
  </si>
  <si>
    <t>Set-up/verify up worksheets configuration; operator choices.</t>
  </si>
  <si>
    <t>confDataWS</t>
  </si>
  <si>
    <t>Sub confDataWS()  'configure visible worksheets headers, exclude basic ws</t>
  </si>
  <si>
    <t>Configure visible worksheets headers (meta data).</t>
  </si>
  <si>
    <t>a_EProcCat</t>
  </si>
  <si>
    <t>Sub a_EProcCat()  'Excel procedure catalog (collection)</t>
  </si>
  <si>
    <t>Collect and save Excel procedures/macros (subs &amp; functions).</t>
  </si>
  <si>
    <t>navWSButton1</t>
  </si>
  <si>
    <t>Sub navWSButton1()  'navigation ws button#1</t>
  </si>
  <si>
    <t>Delete buttons, then create navigation hyper-links refresh button.</t>
  </si>
  <si>
    <t>rcWSButton1</t>
  </si>
  <si>
    <t>Sub rcWSButton1()  'requirements configuration ws button#1, #2</t>
  </si>
  <si>
    <t>Delete all buttons, then create nes.</t>
  </si>
  <si>
    <t>sowWSButton1</t>
  </si>
  <si>
    <t>Sub sowWSButton1()  'sow (statement of work) ws button#1</t>
  </si>
  <si>
    <t>Delete all buttons, then create new.</t>
  </si>
  <si>
    <t>sL2WSButton1</t>
  </si>
  <si>
    <t>Sub sL2WSButton1()  'p_SpecL2 ws button#1</t>
  </si>
  <si>
    <t>testButton</t>
  </si>
  <si>
    <t>Sub testButton()  'explore button assignment</t>
  </si>
  <si>
    <t>Explore worksheet (ws) button assignment from web.</t>
  </si>
  <si>
    <t>Worksheet_SelectionChange</t>
  </si>
  <si>
    <t>Private Sub Worksheet_SelectionChange(ByVal Target As Range)</t>
  </si>
  <si>
    <t>CF_Expan</t>
  </si>
  <si>
    <t>Mod2b_Math</t>
  </si>
  <si>
    <t>Generate continued fraction (CF) expansion</t>
  </si>
  <si>
    <t>testCF_Dec</t>
  </si>
  <si>
    <t>Sub testCF_Dec()</t>
  </si>
  <si>
    <t>CF_Dec</t>
  </si>
  <si>
    <t>Function CF_Dec(ByVal iNum As Double) As String</t>
  </si>
  <si>
    <t>Generate continued fraction (CF) expansion from decimal #.</t>
  </si>
  <si>
    <t>testCF_Dec1</t>
  </si>
  <si>
    <t>Sub testCF_Dec1()</t>
  </si>
  <si>
    <t>CF_Dec1</t>
  </si>
  <si>
    <t>Calculate vector cross product.</t>
  </si>
  <si>
    <t>vMag</t>
  </si>
  <si>
    <t>Function vMag(v1 As Variant, v2 As Variant) As Variant  'vector magnitude</t>
  </si>
  <si>
    <t>Calculate vector dot product (magnitude).</t>
  </si>
  <si>
    <t>Hex2Long</t>
  </si>
  <si>
    <t>Function Hex2Long(S As String) As Long</t>
  </si>
  <si>
    <t>Mod2c_SComm</t>
  </si>
  <si>
    <t>InitPorts</t>
  </si>
  <si>
    <t>Sub InitPorts()</t>
  </si>
  <si>
    <t>InitPort</t>
  </si>
  <si>
    <t>Sub InitPort(Index As Integer)</t>
  </si>
  <si>
    <t>ModError1</t>
  </si>
  <si>
    <t>Sub ModError1(ErrValue As Integer, Rx As String)</t>
  </si>
  <si>
    <t>SetPortValues</t>
  </si>
  <si>
    <t>Sub SetPortValues(Index As Integer)</t>
  </si>
  <si>
    <t>OpenPort</t>
  </si>
  <si>
    <t>Sub OpenPort(Index As Integer)</t>
  </si>
  <si>
    <t>PRG_Errors</t>
  </si>
  <si>
    <t>Sub PRG_Errors(Index As Integer)</t>
  </si>
  <si>
    <t>ClosePort</t>
  </si>
  <si>
    <t>Sub ClosePort(Index As Integer)</t>
  </si>
  <si>
    <t>TX1</t>
  </si>
  <si>
    <t>Sub TX1(S As String)</t>
  </si>
  <si>
    <t>RX1</t>
  </si>
  <si>
    <t>Function RX1() As String</t>
  </si>
  <si>
    <t>AO_CMD</t>
  </si>
  <si>
    <t>Sub AO_CMD(Address, ReportError As Integer, AOValue As Double)</t>
  </si>
  <si>
    <t>DI_CMD</t>
  </si>
  <si>
    <t>Function DI_CMD(Address, ByteNum, ReportError As Integer) As Long</t>
  </si>
  <si>
    <t>DO_CMD</t>
  </si>
  <si>
    <t>Sub DO_CMD(Address, OutputValue, ReportError As Integer)</t>
  </si>
  <si>
    <t>RD_CMD</t>
  </si>
  <si>
    <t>Function RD_CMD(Address, ReportError As Integer) As String</t>
  </si>
  <si>
    <t>RE_CMD</t>
  </si>
  <si>
    <t>Function RE_CMD(Address, ReportError As Integer) As String</t>
  </si>
  <si>
    <t>sortTaskWS</t>
  </si>
  <si>
    <t>Sub sortTaskWS()  'sort task worksheets in workbook</t>
  </si>
  <si>
    <t>Mod2_Utilities</t>
  </si>
  <si>
    <t>sorts task and task calendar worksheets in ascending order</t>
  </si>
  <si>
    <t>bubbleSort</t>
  </si>
  <si>
    <t>Sub bubbleSort(list() As String)  'sort input string array, list()</t>
  </si>
  <si>
    <t>sorts sheets of the active workbook in ascending order</t>
  </si>
  <si>
    <t>cdateTest</t>
  </si>
  <si>
    <t>Sub cdateTest()  'test date time conversion; excel function</t>
  </si>
  <si>
    <t>cdateTest1</t>
  </si>
  <si>
    <t>Sub cdateTest1()  'use CDate to clean up text dates; excel function</t>
  </si>
  <si>
    <t>replaceTst</t>
  </si>
  <si>
    <t>Sub replaceTst() 'test the replace function</t>
  </si>
  <si>
    <t>Help manage Excel buttons</t>
  </si>
  <si>
    <t>lwsTOC</t>
  </si>
  <si>
    <t>Sub lwsTOC()  'list worksheets (ws) hyperlink list; table of contents (TOC)</t>
  </si>
  <si>
    <t>Delete old worksheet hyper-links &amp; descriptions list; create new ones.</t>
  </si>
  <si>
    <t>lastRow</t>
  </si>
  <si>
    <t>Sub lastRow(col As Range, outRng As Range)  'last row in specified column</t>
  </si>
  <si>
    <t>testBlkRow</t>
  </si>
  <si>
    <t>Sub testBlkRow() 'test for first blank row</t>
  </si>
  <si>
    <t>drBlkRow</t>
  </si>
  <si>
    <t>Sub drBlkRow(blkCel As Range)  'data range defined by first blank row</t>
  </si>
  <si>
    <t>Find data range defined by the first blank row in column.</t>
  </si>
  <si>
    <t>LastCol</t>
  </si>
  <si>
    <t>Sub LastCol(row As Range)  'last column in specified row</t>
  </si>
  <si>
    <t>testBCol1</t>
  </si>
  <si>
    <t>Sub testBCol1()</t>
  </si>
  <si>
    <t>firstBlkCol</t>
  </si>
  <si>
    <t>Sub firstBlkCol(sRow As Range, outRng As Range) 'first blank column in specified row</t>
  </si>
  <si>
    <t>Find the first blank column in the specified input row &amp; set range upto blank cell</t>
  </si>
  <si>
    <t>testCopyWS</t>
  </si>
  <si>
    <t>Sub testCopyWS()  'test the copy worksheet to array routine</t>
  </si>
  <si>
    <t>copyWSD2Array</t>
  </si>
  <si>
    <t>Sub copyWSD2Array(dRng As Range, oArray() As Variant) 'copy worksheet data to array</t>
  </si>
  <si>
    <t>copy worksheet data to array; this is just a starter routine, to be customized</t>
  </si>
  <si>
    <t>gotoTCaWS</t>
  </si>
  <si>
    <t>Sub gotoTCaWS()  'make F_TCx the active worksheet; forecast task calendar</t>
  </si>
  <si>
    <t>Make F_TCx the active worksheet; forecast task calendar</t>
  </si>
  <si>
    <t>condFormat1</t>
  </si>
  <si>
    <t>Sub condFormat1()  'conditional formatting</t>
  </si>
  <si>
    <t>Set conditional formatting for cell range</t>
  </si>
  <si>
    <t>getCelColor</t>
  </si>
  <si>
    <t>Sub getCelColor()  'figure out Excel colors</t>
  </si>
  <si>
    <t>Figure out Excel color codes</t>
  </si>
  <si>
    <t>fProjStart</t>
  </si>
  <si>
    <t>Sub fProjStart(psCel As Range, pfCel As Range)  'find project start/end dates</t>
  </si>
  <si>
    <t>Find project start &amp; finish date pointers</t>
  </si>
  <si>
    <t>hyperNavWS</t>
  </si>
  <si>
    <t>Sub hyperNavWS()  'set hyper-link to navigation worksheet (ws)</t>
  </si>
  <si>
    <t>Set the hyper-link to the navigation ws.</t>
  </si>
  <si>
    <t>TestThis</t>
  </si>
  <si>
    <t>Sub TestThis()</t>
  </si>
  <si>
    <t>text2Array</t>
  </si>
  <si>
    <t>Sub text2Array(ByRef aText As Variant, ByVal sTextFile As String)</t>
  </si>
  <si>
    <t>removeDuplicates</t>
  </si>
  <si>
    <t>Sub removeDuplicates(listRng As Range, listOut() As String)  'remove duplicate names &amp; alpha sort</t>
  </si>
  <si>
    <t>Remove duplicate names from worksheet (ws) range</t>
  </si>
  <si>
    <t>hiddenWS</t>
  </si>
  <si>
    <t>Sub hiddenWS()  'work with hidden &amp; very hidden worksheets (ws)</t>
  </si>
  <si>
    <t>veryHideActiveSheet</t>
  </si>
  <si>
    <t>Sub veryHideActiveSheet()  'make an active worsheet (ws) very hidden</t>
  </si>
  <si>
    <t>unhideVeryHiddenSheets</t>
  </si>
  <si>
    <t>Sub unhideVeryHiddenSheets()  'unhide the very hidden worksheets (ws)</t>
  </si>
  <si>
    <t>Make visible (unhide) the very hidden worksheets (ws)</t>
  </si>
  <si>
    <t>findLinks</t>
  </si>
  <si>
    <t>Sub findLinks()  'find external links in Excel workbook</t>
  </si>
  <si>
    <t>Find all external links</t>
  </si>
  <si>
    <t>breakLinks1</t>
  </si>
  <si>
    <t>Sub breakLinks1()  'break all external links in Excel workbook</t>
  </si>
  <si>
    <t>Break all external links</t>
  </si>
  <si>
    <t>findBExLinks1</t>
  </si>
  <si>
    <t>Sub findBExLinks1()  'find and break external links in workbook</t>
  </si>
  <si>
    <t>Finds all external links in a workbook, including the very hard to</t>
  </si>
  <si>
    <t>OutputLinkInfo</t>
  </si>
  <si>
    <t>Function OutputLinkInfo(typ As String, wbk As String, wsh As String, _</t>
  </si>
  <si>
    <t>ReportExternalLinks</t>
  </si>
  <si>
    <t>Function ReportExternalLinks(wkbk As Excel.Workbook) As String()</t>
  </si>
  <si>
    <t>bWSPassword</t>
  </si>
  <si>
    <t>Sub bWSPassword()  'break worksheet password; notes on vba project password</t>
  </si>
  <si>
    <t>collectFileList</t>
  </si>
  <si>
    <t>Sub collectFileList()  'retrieve &amp; save folder, file names</t>
  </si>
  <si>
    <t>Clear old data contents, then retrieve and save folder files and sub-folder files</t>
  </si>
  <si>
    <t>RecursiveDir1</t>
  </si>
  <si>
    <t>Sub RecursiveDir1(ByVal CurrDir As String)</t>
  </si>
  <si>
    <t>dirNames</t>
  </si>
  <si>
    <t>Sub dirNames(ByVal CurrDir As String)</t>
  </si>
  <si>
    <t>pathExists</t>
  </si>
  <si>
    <t>Function pathExists(pName) As Boolean</t>
  </si>
  <si>
    <t>sheetExists</t>
  </si>
  <si>
    <t>Function sheetExists(shtName As String, Optional wb As Workbook) As Boolean</t>
  </si>
  <si>
    <t>testChrt</t>
  </si>
  <si>
    <t>Sub testChrt()  'test chartExists function</t>
  </si>
  <si>
    <t>WorkbookOpen</t>
  </si>
  <si>
    <t>Function WorkbookOpen(strWorkBookName As String) As Boolean</t>
  </si>
  <si>
    <t>testWorkbookOpen</t>
  </si>
  <si>
    <t>Sub testWorkbookOpen()</t>
  </si>
  <si>
    <t>WorkbookOpen1</t>
  </si>
  <si>
    <t>Function WorkbookOpen1(strWorkBookName As String) As Boolean  'test for wb open</t>
  </si>
  <si>
    <t>testWorkbookOpen1</t>
  </si>
  <si>
    <t>Sub testWorkbookOpen1()</t>
  </si>
  <si>
    <t>chartExists1</t>
  </si>
  <si>
    <t>Function chartExists1(cName As String) As Boolean</t>
  </si>
  <si>
    <t>test chart exists</t>
  </si>
  <si>
    <t>testNav2</t>
  </si>
  <si>
    <t>Sub testNav2()  'test navigation to file &amp; navigation to folder</t>
  </si>
  <si>
    <t>Nav2Folder1</t>
  </si>
  <si>
    <t>Function Nav2Folder1() As String</t>
  </si>
  <si>
    <t>navigate to a folder, starting navigation from current directory/folder</t>
  </si>
  <si>
    <t>Nav2File1</t>
  </si>
  <si>
    <t>Function Nav2File1() As String  'user navigate to file</t>
  </si>
  <si>
    <t>navigate to a file, starting navigation from current directory/folder</t>
  </si>
  <si>
    <t>GetFilenameWithoutExtension</t>
  </si>
  <si>
    <t>Public Function GetFilenameWithoutExtension(path As String) As String</t>
  </si>
  <si>
    <t>GetFilenameWithExtension</t>
  </si>
  <si>
    <t>Public Function GetFilenameWithExtension(path As String) As String</t>
  </si>
  <si>
    <t>GetDirectoryFromPathFilename</t>
  </si>
  <si>
    <t>Public Function GetDirectoryFromPathFilename(path As String) As String</t>
  </si>
  <si>
    <t>getDirFromPath</t>
  </si>
  <si>
    <t>Public Function getDirFromPath(path As String) As String</t>
  </si>
  <si>
    <t>testSht</t>
  </si>
  <si>
    <t>Sub testSht()</t>
  </si>
  <si>
    <t>findFT_WS</t>
  </si>
  <si>
    <t>Function findFT_WS() As Variant 'return array holding only forecast tasks</t>
  </si>
  <si>
    <t>testGetNum</t>
  </si>
  <si>
    <t>Sub testGetNum()</t>
  </si>
  <si>
    <t>getNumeric</t>
  </si>
  <si>
    <t>Function getNumeric(val As String)  'get numeric from string, right justification</t>
  </si>
  <si>
    <t>clean_NonPrintChar</t>
  </si>
  <si>
    <t>Function clean_NonPrintChar(Str As String) As String  'remove non-print characters</t>
  </si>
  <si>
    <t>Removes non-printable characters from a string</t>
  </si>
  <si>
    <t>wdOpen1</t>
  </si>
  <si>
    <t>Sub wdOpen1(fileP As String, wdDoc As Word.Document, wdApp As Word.Application)  'open msWord, but only one copy</t>
  </si>
  <si>
    <t>setGenWS_Header</t>
  </si>
  <si>
    <t>Sub setGenWS_Header()  'set general ws header</t>
  </si>
  <si>
    <t>Mod3_WSHeaders</t>
  </si>
  <si>
    <t>Set-up reference &amp; notes worksheet headers.</t>
  </si>
  <si>
    <t>setHN_Header1</t>
  </si>
  <si>
    <t>Sub setHN_Header1()  'set-up help &amp; notes worksheet headers</t>
  </si>
  <si>
    <t>setNav_Header1</t>
  </si>
  <si>
    <t>Sub setNav_Header1()  'set-up navigation worksheet headers</t>
  </si>
  <si>
    <t>Set-up navigation worksheet (ws) headers.</t>
  </si>
  <si>
    <t>setConf_Header1</t>
  </si>
  <si>
    <t>Sub setConf_Header1()  'set-up general configuration worksheet headers</t>
  </si>
  <si>
    <t>Set-up general configuration worksheet headers.</t>
  </si>
  <si>
    <t>setRC_Header1</t>
  </si>
  <si>
    <t>Sub setRC_Header1()  'set-up reliability configuration worksheet headers</t>
  </si>
  <si>
    <t>Set-up reliability configuration worksheet headers</t>
  </si>
  <si>
    <t>setPL_Header1</t>
  </si>
  <si>
    <t>Sub setPL_Header1()  'set-up procedure list worksheet headers</t>
  </si>
  <si>
    <t>Set-up procedure list worksheet headers</t>
  </si>
  <si>
    <t>setPC_Header1</t>
  </si>
  <si>
    <t>Sub setPC_Header1()  'set-up procedure catalog worksheet headers</t>
  </si>
  <si>
    <t>Set-up procedure catalog worksheet headers</t>
  </si>
  <si>
    <t>a_DataLog</t>
  </si>
  <si>
    <t>Sub a_DataLog()  'manage data logger data</t>
  </si>
  <si>
    <t>Mod4b_DataLog</t>
  </si>
  <si>
    <t>Manage data logger import.</t>
  </si>
  <si>
    <t>findJobNos</t>
  </si>
  <si>
    <t>Sub findJobNos(jobNo As String)</t>
  </si>
  <si>
    <t>Find files jobNo data, then save path, filename in jobNo worksheet</t>
  </si>
  <si>
    <t>testEx</t>
  </si>
  <si>
    <t>Sub testEx()  'test ts data extraction</t>
  </si>
  <si>
    <t>exTS_FileData</t>
  </si>
  <si>
    <t>Sub exTS_FileData(jobNo As String)  'extract ts data &amp; save in data worksheet</t>
  </si>
  <si>
    <t>Extract and save job specific timesheet (ts) file data from each ts file</t>
  </si>
  <si>
    <t>testTSFD</t>
  </si>
  <si>
    <t>Sub testTSFD()  'test ts file data sort</t>
  </si>
  <si>
    <t>sortTSFD</t>
  </si>
  <si>
    <t>Sub sortTSFD(jobNo As String)  'sort timesheet file data</t>
  </si>
  <si>
    <t>Sort timesheet file data</t>
  </si>
  <si>
    <t>test_cEListS</t>
  </si>
  <si>
    <t>Sub test_cEListS()  'test collect (and save) employee list &amp; Sum</t>
  </si>
  <si>
    <t>cEListS</t>
  </si>
  <si>
    <t>Sub cEListS(jobNo As String)  'collect (and save) employee list &amp; Sum</t>
  </si>
  <si>
    <t>Collect (and save) employee list and sum hours</t>
  </si>
  <si>
    <t>test_sumEL</t>
  </si>
  <si>
    <t>Sub test_sumEL()  'test summerize employee labor month-by-month</t>
  </si>
  <si>
    <t>sumEL</t>
  </si>
  <si>
    <t>Sub sumEL(jobNo)  'summarize employee labor month-by-month</t>
  </si>
  <si>
    <t>Summaize labor and collect/save temporal destribution</t>
  </si>
  <si>
    <t>sumODC</t>
  </si>
  <si>
    <t>Sub sumODC(jobNo)</t>
  </si>
  <si>
    <t>a_TS_CollectData</t>
  </si>
  <si>
    <t>Sub a_TS_CollectData()  'collect timesheet (ts) data</t>
  </si>
  <si>
    <t>Mod4_ProjActuals</t>
  </si>
  <si>
    <t>Collect/Extract TS (timesheet) data</t>
  </si>
  <si>
    <t>getFiles1</t>
  </si>
  <si>
    <t>Sub getFiles1(tsFolder As String)  'retrieve folder files</t>
  </si>
  <si>
    <t>F_tSync</t>
  </si>
  <si>
    <t>Sub F_tSync()  'forecast task to schedule synchronization; includes data to task calendar</t>
  </si>
  <si>
    <t>Mod5_ScheduleBudget</t>
  </si>
  <si>
    <t>forecast task to schedule synchronization; data to task calendar worksheet (F_TCx)</t>
  </si>
  <si>
    <t>F_tWS_Sync</t>
  </si>
  <si>
    <t>Sub F_tWS_Sync()  'forecast task to schedule worksheet (ws) synchronization</t>
  </si>
  <si>
    <t>Single task worksheet synchronization</t>
  </si>
  <si>
    <t>llArray</t>
  </si>
  <si>
    <t>Sub llArray(rowRng As Range, colRng As Range, oArray() As Long) 'load labor array</t>
  </si>
  <si>
    <t>Read/load labor array from task worksheet.</t>
  </si>
  <si>
    <t>tsidRead</t>
  </si>
  <si>
    <t>Sub tsidRead(tsidArray() As Double)  'task &amp; schedule identifier read</t>
  </si>
  <si>
    <t>schedule sub-task read from schedule interface worksheet (ws)</t>
  </si>
  <si>
    <t>stlmTest</t>
  </si>
  <si>
    <t>Sub stlmTest()</t>
  </si>
  <si>
    <t>stlmRead</t>
  </si>
  <si>
    <t>Sub stlmRead(stlmArray() As Long)  'sub-task labor/materials read, return updated array</t>
  </si>
  <si>
    <t>return array holding the sub-task schedule id and labor/materials data</t>
  </si>
  <si>
    <t>delSTM_Data</t>
  </si>
  <si>
    <t>Sub delSTM_Data()  'delete sub-task/material data; delete includes ref#</t>
  </si>
  <si>
    <t>delete old sub-task &amp; material data + 1000 extra rows, just in case</t>
  </si>
  <si>
    <t>delTCa_Data</t>
  </si>
  <si>
    <t>Sub delTCa_Data()  'delete task calendar data; not labor names nor month headers</t>
  </si>
  <si>
    <t>delete old task calendar data + 1000 extra rows, just in case</t>
  </si>
  <si>
    <t>stlmLoad</t>
  </si>
  <si>
    <t>Sub stlmLoad(tsidArray() As Double)  'load worksheet (ws) with schedule id data</t>
  </si>
  <si>
    <t>load task worksheet (ws) with sub-task schedule id</t>
  </si>
  <si>
    <t>lmLoad</t>
  </si>
  <si>
    <t>Sub lmLoad(stlmArray() As Long)  'load task worksheet with labor/materials data</t>
  </si>
  <si>
    <t>load task worksheet with labor/materials data</t>
  </si>
  <si>
    <t>F_TTCa_Sync</t>
  </si>
  <si>
    <t>Sub F_TTCa_Sync() 'forecast task to task calendar synchronization</t>
  </si>
  <si>
    <t>forecast task to task calendar synchronization; task calendar worksheet (F_TCx) update</t>
  </si>
  <si>
    <t>condFor_1</t>
  </si>
  <si>
    <t>Sub condFor_1(formatRng As Range)  'conditional formatting across range</t>
  </si>
  <si>
    <t>Set conditional formatting for input arguement cell range</t>
  </si>
  <si>
    <t>P_newBaseline</t>
  </si>
  <si>
    <t>Sub P_newBaseline()  'new project schedule/budget baseline</t>
  </si>
  <si>
    <t>loadPTSum</t>
  </si>
  <si>
    <t>Sub loadPTSum()  'load project task summary &amp; month-by-month summary blocks</t>
  </si>
  <si>
    <t>sTaskRead</t>
  </si>
  <si>
    <t>Sub sTaskRead()  'read sub-tasks from imported schedule worksheet</t>
  </si>
  <si>
    <t>extracts &amp; saves sub-tasks from imported schedule worksheet in seperate task worksheets;</t>
  </si>
  <si>
    <t>wholeSchBud_Sync</t>
  </si>
  <si>
    <t>Sub wholeSchBud_Sync()  'synchronize whole workbook schedule/budget/labor/materials</t>
  </si>
  <si>
    <t>sync</t>
  </si>
  <si>
    <t>SchBud_Sync</t>
  </si>
  <si>
    <t>Sub SchBud_Sync()  'synchronize imported schedule tasks to forcast labor date spread</t>
  </si>
  <si>
    <t>extract actual labor data from project actuals analysis (JSR (job status report))</t>
  </si>
  <si>
    <t>a_ImportSch_file</t>
  </si>
  <si>
    <t>Sub a_ImportSch_file()  'Import schedule data from file; CSV or Excel</t>
  </si>
  <si>
    <t>Import schedule data from either a Excel or CSV file (coma seperated values)</t>
  </si>
  <si>
    <t>verifyCSVheaders</t>
  </si>
  <si>
    <t>Sub verifyCSVheaders()  'verify CSV headers match schedule/budget headers</t>
  </si>
  <si>
    <t>make sure imported data types align with existing data</t>
  </si>
  <si>
    <t>csvImport1</t>
  </si>
  <si>
    <t>Sub csvImport1(impFile As String, erFlag As Boolean) 'generic csv import; for schedule worksheet</t>
  </si>
  <si>
    <t>generic csv import; for schedule worksheet</t>
  </si>
  <si>
    <t>xlsxImport1</t>
  </si>
  <si>
    <t>Sub xlsxImport1(impFile As String, erFlag As Boolean) 'Excel xlsx import; for schedule worksheet</t>
  </si>
  <si>
    <t>xlsx import; for schedule worksheet</t>
  </si>
  <si>
    <t>delSchData</t>
  </si>
  <si>
    <t>Sub delSchData()  'delete old schedule data; in SchInterface</t>
  </si>
  <si>
    <t>Delete old schedule data in schedule interface worksheet (ws)</t>
  </si>
  <si>
    <t>copySchData1</t>
  </si>
  <si>
    <t>Sub copySchData1()  'copy-from temp schedule ws, copy-to schedule interface worksheet (ws)</t>
  </si>
  <si>
    <t>Find, then copy-from temporary schedule ws, copy-to to schedule interface ws</t>
  </si>
  <si>
    <t>CSV_ReadTest</t>
  </si>
  <si>
    <t>Sub CSV_ReadTest()</t>
  </si>
  <si>
    <t>viewLaborList</t>
  </si>
  <si>
    <t>Sub viewLaborList()</t>
  </si>
  <si>
    <t>select beginning of labor list, then freeze view to show staff &amp; labor list beginning</t>
  </si>
  <si>
    <t>viewLaborCalender</t>
  </si>
  <si>
    <t>Sub viewLaborCalender()</t>
  </si>
  <si>
    <t>remove Excel freeze panel view and goto labor load calendar; top of worksheet</t>
  </si>
  <si>
    <t>GetImportFileName2</t>
  </si>
  <si>
    <t>Function GetImportFileName2() As String  'return path and filename, or false</t>
  </si>
  <si>
    <t>GetFileInfo_MDate</t>
  </si>
  <si>
    <t>Function GetFileInfo_MDate(ByVal sFPath As String) As String</t>
  </si>
  <si>
    <t>GetFilenameFromPath</t>
  </si>
  <si>
    <t>Function GetFilenameFromPath(ByVal sFPath As String) As String</t>
  </si>
  <si>
    <t>openTasks</t>
  </si>
  <si>
    <t>Sub openTasks()  'collect open task list, then labor hours from tasks worksheets</t>
  </si>
  <si>
    <t>extracts open tasks from schedule, excluding task roll-ups, then</t>
  </si>
  <si>
    <t>exSIdLabor</t>
  </si>
  <si>
    <t>Sub exSIdLabor()  'extract forecast schedule Id labor data</t>
  </si>
  <si>
    <t>extract labor data associated with a schedule identifier</t>
  </si>
  <si>
    <t>verifyFSheets</t>
  </si>
  <si>
    <t>Function verifyFSheets(fwsArray As Variant) As Boolean  'verify forecast worksheet names</t>
  </si>
  <si>
    <t>verify forecast worksheet names = names defined in VBA code</t>
  </si>
  <si>
    <t>ttDist</t>
  </si>
  <si>
    <t>Sub ttDist()  'task temporal distribution</t>
  </si>
  <si>
    <t>distribute task duration across project duration</t>
  </si>
  <si>
    <t>testDist1</t>
  </si>
  <si>
    <t>Sub testDist1()  'test the task duration in reporting period</t>
  </si>
  <si>
    <t>tdrpDist1</t>
  </si>
  <si>
    <t>Sub tdrpDist1(tbdCel As Range, rpdCel As Range, ptRI As Double)  'task duration in reporting period</t>
  </si>
  <si>
    <t>fModeMapCollect</t>
  </si>
  <si>
    <t>Sub fModeMapCollect()  'failure mode map data collection</t>
  </si>
  <si>
    <t>Mod6_Reliability</t>
  </si>
  <si>
    <t>For each data collect, remove duplicates, sort, and save list below the data.</t>
  </si>
  <si>
    <t>syncRA_Ps</t>
  </si>
  <si>
    <t>Sub syncRA_Ps()  'synchronize reliability assembly to Ps(t) data</t>
  </si>
  <si>
    <t>Synchronize reliability assembly to Ps(t) data (probability of success)</t>
  </si>
  <si>
    <t>psRollup</t>
  </si>
  <si>
    <t>Sub psRollup()  'Ps(t) data roll-up from fail mode map ws</t>
  </si>
  <si>
    <t>Top-Level Ps(t) data roll-up from fail mode map worksheet (ws)</t>
  </si>
  <si>
    <t>valLists</t>
  </si>
  <si>
    <t>Sub valLists(mlist1() As String, list2() As String)  'validate worksheet lists arrays</t>
  </si>
  <si>
    <t>Validate worksheet lists from two worksheets</t>
  </si>
  <si>
    <t>a_importSOW</t>
  </si>
  <si>
    <t>Sub a_importSOW()  'import MS Word SOW (statement of work) requirements</t>
  </si>
  <si>
    <t>Mod7_Rqmts_Manage</t>
  </si>
  <si>
    <t>Import MSWord SOW (statement of work) requirements</t>
  </si>
  <si>
    <t>a_importSMAR</t>
  </si>
  <si>
    <t>Sub a_importSMAR()  'import MS Word SMAR requirements</t>
  </si>
  <si>
    <t>Import msWord SMAR (subcontractor mission assurance requirements) requirements</t>
  </si>
  <si>
    <t>a_importSpecL2</t>
  </si>
  <si>
    <t>Sub a_importSpecL2()  'import MS Word Specificatin level2 requirements</t>
  </si>
  <si>
    <t>Import MSWord specification level 2 requirements</t>
  </si>
  <si>
    <t>testImport</t>
  </si>
  <si>
    <t>Sub testImport()  'test msword requirement import</t>
  </si>
  <si>
    <t>importWordRqmts</t>
  </si>
  <si>
    <t>Sub importWordRqmts(fileP As String, diCel As Range)  'import MSWord Requirements</t>
  </si>
  <si>
    <t>User interface, import MS Word requirements to Excel worksheet (WS)</t>
  </si>
  <si>
    <t>importWordRqmts1</t>
  </si>
  <si>
    <t>Sub importWordRqmts1()</t>
  </si>
  <si>
    <t>Import MS Word requirements to Excel worksheet (WS)</t>
  </si>
  <si>
    <t>ImportWordTable1</t>
  </si>
  <si>
    <t>Sub ImportWordTable1()</t>
  </si>
  <si>
    <t>importWordRqmts2</t>
  </si>
  <si>
    <t>Sub importWordRqmts2()  'import msWord requirements - really tricky</t>
  </si>
  <si>
    <t>addRqmtsWS</t>
  </si>
  <si>
    <t>Sub addRqmtsWS()  'add requirements worksheeet (ws)</t>
  </si>
  <si>
    <t>Add new requirements worksheet (ws).</t>
  </si>
  <si>
    <t>a_exConnList</t>
  </si>
  <si>
    <t>Sub a_exConnList()  'extract connector &amp; signals info</t>
  </si>
  <si>
    <t>Mod8_ICD_Manage</t>
  </si>
  <si>
    <t>extract connector info and signal names from channelization xls file</t>
  </si>
  <si>
    <t>exSignalFT</t>
  </si>
  <si>
    <t>Sub exSignalFT()  'extract signal from-to data</t>
  </si>
  <si>
    <t>Extract signal from-to data from active WB.</t>
  </si>
  <si>
    <t>exNetList1</t>
  </si>
  <si>
    <t>Sub exNetList1()  'extract</t>
  </si>
  <si>
    <t>extract connector info and signal names from schematic net-list</t>
  </si>
  <si>
    <t>ExtractSignalNames</t>
  </si>
  <si>
    <t>Sub ExtractSignalNames()  'this may get superceeded</t>
  </si>
  <si>
    <t>read signal net names and associated connector/pins, save assignments on another worksheet</t>
  </si>
  <si>
    <t>readNetList</t>
  </si>
  <si>
    <t>Sub readNetList(nodeShtName)</t>
  </si>
  <si>
    <t>read net-names and sort according to reference desiginator</t>
  </si>
  <si>
    <t>LastColumnInRow</t>
  </si>
  <si>
    <t>Function LastColumnInRow(rowTest As Long) As Long</t>
  </si>
  <si>
    <t>UserChoseRefDes</t>
  </si>
  <si>
    <t>Function UserChoseRefDes()</t>
  </si>
  <si>
    <t>updateTestTab</t>
  </si>
  <si>
    <t>Sub updateTestTab()</t>
  </si>
  <si>
    <t>testWordInt</t>
  </si>
  <si>
    <t>Sub testWordInt()  'test MSWord interfaces</t>
  </si>
  <si>
    <t>opens a new MSWord file &amp; writes Excel cell values to MSWord document</t>
  </si>
  <si>
    <t>DegSin</t>
  </si>
  <si>
    <t>Returns sin() angle in degrees.</t>
  </si>
  <si>
    <t>DegCos</t>
  </si>
  <si>
    <t>Returns cos() angle in degrees.</t>
  </si>
  <si>
    <t>DegTan</t>
  </si>
  <si>
    <t>Returns tan() angle in degrees.</t>
  </si>
  <si>
    <t>DegArcsin</t>
  </si>
  <si>
    <t>Returns asin() angle in degrees.</t>
  </si>
  <si>
    <t>DegArccos</t>
  </si>
  <si>
    <t>Returns acos() angle in degrees.</t>
  </si>
  <si>
    <t>DegArctan</t>
  </si>
  <si>
    <t>Returns atan() angle in degrees.</t>
  </si>
  <si>
    <t>DegAtan2</t>
  </si>
  <si>
    <t>Returns atan() angle between 0 and 360 degrees.</t>
  </si>
  <si>
    <t>range2pi</t>
  </si>
  <si>
    <t>Returns angle between 0 and 2*pi radians.</t>
  </si>
  <si>
    <t>range360</t>
  </si>
  <si>
    <t>Returns angle between 0 and 360 degrees.</t>
  </si>
  <si>
    <t>degdecimal</t>
  </si>
  <si>
    <t>Convert from dms format to ddd format.</t>
  </si>
  <si>
    <t>rectangular</t>
  </si>
  <si>
    <t>Function rectangular(r As Double, theta As Double, phi As Double, Index As Integer) As Double</t>
  </si>
  <si>
    <t>Convert to/from rectangular and polar coordinates.</t>
  </si>
  <si>
    <t>rlength</t>
  </si>
  <si>
    <t>Given rectangular, return spherical.</t>
  </si>
  <si>
    <t>spherical</t>
  </si>
  <si>
    <t>Given rectangular return spherical.</t>
  </si>
  <si>
    <t>obliquity</t>
  </si>
  <si>
    <t>Function obliquity(D As Double) As Double</t>
  </si>
  <si>
    <t>Return ecliptic obliquity, given Julian centuries.</t>
  </si>
  <si>
    <t>rEquatorial</t>
  </si>
  <si>
    <t>Convert between coordinate systems.</t>
  </si>
  <si>
    <t>rEcliptic</t>
  </si>
  <si>
    <t>Convert geocentric equatorial coordinates into geocentric ecliptic.</t>
  </si>
  <si>
    <t>sequatorial</t>
  </si>
  <si>
    <t>Function sequatorial(r As Double, theta As Double, phi As Double, D As Double, Index As Integer) As Double</t>
  </si>
  <si>
    <t>Convert geocentric ecliptic coordinates into geocentric equatorial.</t>
  </si>
  <si>
    <t>secliptic</t>
  </si>
  <si>
    <t>Function secliptic(r As Double, theta As Double, phi As Double, D As Double, Index As Integer) As Double</t>
  </si>
  <si>
    <t>precess</t>
  </si>
  <si>
    <t>Function precess(d1 As Double, d2 As Double, dec As Double, ra As Double, Index As Integer, Optional ddec, Optional dra) As Double</t>
  </si>
  <si>
    <t>Approximate precession.</t>
  </si>
  <si>
    <t>ssun</t>
  </si>
  <si>
    <t>Function ssun(D As Double, Index As Integer) As Double</t>
  </si>
  <si>
    <t>Returns geocentric ecliptic coordinates of the sun.</t>
  </si>
  <si>
    <t>rsun</t>
  </si>
  <si>
    <t>Function rsun(D As Double, Index As Integer) As Double</t>
  </si>
  <si>
    <t>sun</t>
  </si>
  <si>
    <t>Function sun(D As Double, Index As Integer) As Double</t>
  </si>
  <si>
    <t>Returns moon geocentric ra, dec, radius vector.</t>
  </si>
  <si>
    <t>smoon</t>
  </si>
  <si>
    <t>Function smoon(ByVal D As Double, Index As Integer) As Double</t>
  </si>
  <si>
    <t>Find geocentric ecliptic moon position, Paul Schlyter.</t>
  </si>
  <si>
    <t>rMoon</t>
  </si>
  <si>
    <t>Function rMoon(D As Double, Index As Integer) As Double</t>
  </si>
  <si>
    <t>Return moon geocentric ra and dec and radius vector.</t>
  </si>
  <si>
    <t>moon</t>
  </si>
  <si>
    <t>Function moon(D As Double, Index As Integer) As Double</t>
  </si>
  <si>
    <t>kepler</t>
  </si>
  <si>
    <t>rPlanet</t>
  </si>
  <si>
    <t>Function rPlanet(D As Double, pnumber As Integer, Index As Integer) As Double</t>
  </si>
  <si>
    <t>Return planetary heliocentric ecliptic coordinates.</t>
  </si>
  <si>
    <t>planet</t>
  </si>
  <si>
    <t>Function planet(D As Double, pnumber As Integer, Index As Integer) As Double</t>
  </si>
  <si>
    <t>Return planetary equatorial geocentric coordinates.</t>
  </si>
  <si>
    <t>element</t>
  </si>
  <si>
    <t>CheckQFD</t>
  </si>
  <si>
    <t>Sub CheckQFD(DoQuit)</t>
  </si>
  <si>
    <t>createPugh</t>
  </si>
  <si>
    <t>Sub createPugh()  'create Pugh matrix</t>
  </si>
  <si>
    <t>create Ranking Comparison ws (Pugh matrix).</t>
  </si>
  <si>
    <t>test_genParato</t>
  </si>
  <si>
    <t>Sub test_genParato()</t>
  </si>
  <si>
    <t>genPareto</t>
  </si>
  <si>
    <t>Sub genPareto(cdRng As Range, pnRng As Range, _</t>
  </si>
  <si>
    <t>ViewHideToggle</t>
  </si>
  <si>
    <t>Sub ViewHideToggle()</t>
  </si>
  <si>
    <t>use Excel checkbox determins viewing something; I will figure it out</t>
  </si>
  <si>
    <t>ViewHideZeroToggle</t>
  </si>
  <si>
    <t>Sub ViewHideZeroToggle()</t>
  </si>
  <si>
    <t>viewHideTotals</t>
  </si>
  <si>
    <t>Sub viewHideTotals()  'show/hide product totals</t>
  </si>
  <si>
    <t>CreateHOQ</t>
  </si>
  <si>
    <t>Sub CreateHOQ()  'create next house of quality</t>
  </si>
  <si>
    <t>create new Ranking ws (Pugh matrix) from present Pugh matrix.</t>
  </si>
  <si>
    <t>createHOQ1</t>
  </si>
  <si>
    <t>Sub createHOQ1()  'temporary, until this code is translated</t>
  </si>
  <si>
    <t>create new definition worksheet with swapped X and Y desiginations.</t>
  </si>
  <si>
    <t>sortImportance</t>
  </si>
  <si>
    <t>Sub sortImportance()  'sort Pugh matrix by importance column</t>
  </si>
  <si>
    <t>sortRef</t>
  </si>
  <si>
    <t>Sub sortRef()  'sort Pugh matrix by reference column</t>
  </si>
  <si>
    <t>sortPugh</t>
  </si>
  <si>
    <t>Sub sortPugh(sortCat As String)  'sort Pugh matrix; importance, CTQ</t>
  </si>
  <si>
    <t>sorts Pugh matrix by either importance or ref# (grouping)</t>
  </si>
  <si>
    <t>ColumnName</t>
  </si>
  <si>
    <t>Sub ColumnName(ColNum, ColName)</t>
  </si>
  <si>
    <t>CTQFlowUp</t>
  </si>
  <si>
    <t>Sub CTQFlowUp()</t>
  </si>
  <si>
    <t>FlowUpCTQ</t>
  </si>
  <si>
    <t>Sub FlowUpCTQ(ThisSheetName, Sel1, Sel2, Sel3, Sel4, Sel5, Sel6, ColorId)</t>
  </si>
  <si>
    <t>ClearFlowUp</t>
  </si>
  <si>
    <t>Sub ClearFlowUp()</t>
  </si>
  <si>
    <t>FlowUpClear</t>
  </si>
  <si>
    <t>Sub FlowUpClear(ThisSheetName)</t>
  </si>
  <si>
    <t>CTQFlowDown</t>
  </si>
  <si>
    <t>Sub CTQFlowDown()</t>
  </si>
  <si>
    <t>FlowDownCTQ</t>
  </si>
  <si>
    <t>Sub FlowDownCTQ(ThisSheetName, Sel1, Sel2, Sel3, Sel4, Sel5, Sel6, ColorId)</t>
  </si>
  <si>
    <t>IsSheetName</t>
  </si>
  <si>
    <t>Sub IsSheetName(SName, ans)</t>
  </si>
  <si>
    <t>ClearFlowDown</t>
  </si>
  <si>
    <t>Sub ClearFlowDown()</t>
  </si>
  <si>
    <t>FlowDownClear</t>
  </si>
  <si>
    <t>Sub FlowDownClear(ThisSheetName)</t>
  </si>
  <si>
    <t>ClearAllFlowBars</t>
  </si>
  <si>
    <t>Sub ClearAllFlowBars()</t>
  </si>
  <si>
    <t>UpdateY</t>
  </si>
  <si>
    <t>Sub UpdateY()</t>
  </si>
  <si>
    <t>UpdateX</t>
  </si>
  <si>
    <t>Sub UpdateX()</t>
  </si>
  <si>
    <t>UpdateXandY</t>
  </si>
  <si>
    <t>Sub UpdateXandY()</t>
  </si>
  <si>
    <t>UpdateScore</t>
  </si>
  <si>
    <t>Function UpdateScore(SheetName, ItemName, ValueRange As Object)</t>
  </si>
  <si>
    <t>SortCustomerData</t>
  </si>
  <si>
    <t>Sub SortCustomerData()</t>
  </si>
  <si>
    <t>SortbyScore</t>
  </si>
  <si>
    <t>Sub SortbyScore()</t>
  </si>
  <si>
    <t>SortProductRequirements</t>
  </si>
  <si>
    <t>Sub SortProductRequirements()</t>
  </si>
  <si>
    <t>SortData</t>
  </si>
  <si>
    <t>Sub SortData(StartRow, StartColumn, EndColumn)</t>
  </si>
  <si>
    <t>ColumnNum</t>
  </si>
  <si>
    <t>Sub ColumnNum(ColName, ColNum)</t>
  </si>
  <si>
    <t>CreatePartition</t>
  </si>
  <si>
    <t>Sub CreatePartition()</t>
  </si>
  <si>
    <t>IsASheet</t>
  </si>
  <si>
    <t>Function IsASheet(SheetName)</t>
  </si>
  <si>
    <t>DeleteX</t>
  </si>
  <si>
    <t>Sub DeleteX(XName)</t>
  </si>
  <si>
    <t>DeleteY</t>
  </si>
  <si>
    <t>Sub DeleteY(YName)</t>
  </si>
  <si>
    <t>RemoveParameter</t>
  </si>
  <si>
    <t>Sub RemoveParameter()</t>
  </si>
  <si>
    <t>RemoveX</t>
  </si>
  <si>
    <t>Sub RemoveX(XName, NextDefSheet)</t>
  </si>
  <si>
    <t>RemoveY</t>
  </si>
  <si>
    <t>Sub RemoveY(YName, PrevDefSheet)</t>
  </si>
  <si>
    <t>colorCodeOn</t>
  </si>
  <si>
    <t>Sub colorCodeOn()</t>
  </si>
  <si>
    <t>colorCodeOff</t>
  </si>
  <si>
    <t>Sub colorCodeOff()</t>
  </si>
  <si>
    <t>colorCoding</t>
  </si>
  <si>
    <t>Sub colorCoding(colorOn As Boolean)</t>
  </si>
  <si>
    <t>set ranking list color coding</t>
  </si>
  <si>
    <t>test_colorRank</t>
  </si>
  <si>
    <t>Sub test_colorRank()</t>
  </si>
  <si>
    <t>colorRank</t>
  </si>
  <si>
    <t>Sub colorRank(celRng As Range)  'color the rank strength; high, medium, low</t>
  </si>
  <si>
    <t>Color fode product ranking</t>
  </si>
  <si>
    <t>FindMaxXTotal</t>
  </si>
  <si>
    <t>Sub FindMaxXTotal(Total)</t>
  </si>
  <si>
    <t>SixPiecePareto</t>
  </si>
  <si>
    <t>Sub SixPiecePareto()</t>
  </si>
  <si>
    <t>RenameParameter</t>
  </si>
  <si>
    <t>Sub RenameParameter()</t>
  </si>
  <si>
    <t>RenameX</t>
  </si>
  <si>
    <t>Sub RenameX(OldName, NewName, NextDefSheet)</t>
  </si>
  <si>
    <t>RenameY</t>
  </si>
  <si>
    <t>Sub RenameY(OldName, NewName, PrevDefSheet)</t>
  </si>
  <si>
    <t>list_CTQ</t>
  </si>
  <si>
    <t>Sub list_CTQ()  'collect CTQ's in list, write to results columns</t>
  </si>
  <si>
    <t>validate input data; collect CTQ's; write to results columns.</t>
  </si>
  <si>
    <t>trans_CTQ</t>
  </si>
  <si>
    <t>Sub trans_CTQ()  'transfer CTQ on-site ranks to Pugh matrix ws</t>
  </si>
  <si>
    <t>build_formula</t>
  </si>
  <si>
    <t>Sub build_formula()  'build formula in rcm (results calculation matrix)</t>
  </si>
  <si>
    <t>Implement the following Excel formula, but use reference cells and</t>
  </si>
  <si>
    <t>validateGData</t>
  </si>
  <si>
    <t>Sub validateGData()  'validate user entered in CTQ grouping ws</t>
  </si>
  <si>
    <t>validate user input grouping data</t>
  </si>
  <si>
    <t>test_validateEntry1</t>
  </si>
  <si>
    <t>Sub test_validateEntry1()</t>
  </si>
  <si>
    <t>validateEntry1</t>
  </si>
  <si>
    <t>Sub validateEntry1(cRng As Range, dveCnt As Long) 'validate operator entry data</t>
  </si>
  <si>
    <t>Verify data entered is in proper ranges; color code errors;</t>
  </si>
  <si>
    <t>testPformat</t>
  </si>
  <si>
    <t>Sub testPformat()  'test for Pugh matrix ws formating</t>
  </si>
  <si>
    <t>ctq_Pformat</t>
  </si>
  <si>
    <t>Sub ctq_Pformat(dataRng As Range, _</t>
  </si>
  <si>
    <t>delivered orbWin software development presentation to SunCity computer club, MissionDesign(jb3).pptm</t>
  </si>
  <si>
    <t>Argument of Periapsis</t>
  </si>
  <si>
    <t>Orbit Inclination</t>
  </si>
  <si>
    <t>Enter both parameters:</t>
  </si>
  <si>
    <t>add_configWS</t>
  </si>
  <si>
    <t>Sub add_configWS()  'add and configure ws (worksheet)</t>
  </si>
  <si>
    <t>Add ws then configure with my standard headers.</t>
  </si>
  <si>
    <t>Sub calcPAP()  'calculate parameters at a point (PAP)</t>
  </si>
  <si>
    <t>User chooses to view or hide ODB (orbit definition blocks)</t>
  </si>
  <si>
    <t>Sub viewHideODB(WS As Worksheet, oType As String, hide As Boolean) 'view or hide rows in orbit definition block</t>
  </si>
  <si>
    <t>View or hide rows in ODB (orbit definition block)</t>
  </si>
  <si>
    <t>viewHidePAP1</t>
  </si>
  <si>
    <t>Sub viewHidePAP1()  'user choice to view or hide PAP definition blocks</t>
  </si>
  <si>
    <t>viewHidePAP</t>
  </si>
  <si>
    <t>3_GndTrack</t>
  </si>
  <si>
    <t>Geosynchronous orbit</t>
  </si>
  <si>
    <t>Earth Solar Orbit</t>
  </si>
  <si>
    <t>Magellan Mapping Orbit around Venus</t>
  </si>
  <si>
    <t>Voyager 2 Neptune Fly-by</t>
  </si>
  <si>
    <t>Ground Track of Space Shuttle Atlantis</t>
  </si>
  <si>
    <t>Mission to Venus, 1998</t>
  </si>
  <si>
    <t>Refresh workbook headers, run macro: a_genWB_Config, in WB_Conf module, in local or PERSONAL.XLSB</t>
  </si>
  <si>
    <t>Every ws holds meta-data in A1,A2,A3,B1,B2,B3.</t>
  </si>
  <si>
    <t>hnWSButton1</t>
  </si>
  <si>
    <t>Sub hnWSButton1()  'help &amp; notes ws button#1, create button</t>
  </si>
  <si>
    <t>Delete buttons, then create hyper-links refresh button.</t>
  </si>
  <si>
    <t>Given Elliptical Orbit Parameters</t>
  </si>
  <si>
    <t>Elliptical Orbit Calculation Results:</t>
  </si>
  <si>
    <t>Given Circular Orbit Parameters</t>
  </si>
  <si>
    <t>Circular Orbit Calculation Results:</t>
  </si>
  <si>
    <t>Given Parabolic Orbit Parameters</t>
  </si>
  <si>
    <t>Parabolic Orbit Calculation Results:</t>
  </si>
  <si>
    <t>Given Hyperbolic Orbit Parameters</t>
  </si>
  <si>
    <t>Hyperbolic Orbit Calculation Results:</t>
  </si>
  <si>
    <t>Test macro for mission report macro</t>
  </si>
  <si>
    <t>Mission report collection ws (worksheet)</t>
  </si>
  <si>
    <t>gt elliptical calculation date:</t>
  </si>
  <si>
    <t>Ground track (gt) calculations</t>
  </si>
  <si>
    <t>gt circular calculation date:</t>
  </si>
  <si>
    <t>Elliptical Orbit Ground Track</t>
  </si>
  <si>
    <t>Circular Orbit Ground Track</t>
  </si>
  <si>
    <t>Excel Special Setup:</t>
  </si>
  <si>
    <t>Operation Instructions:</t>
  </si>
  <si>
    <t>Help TOC (hyperlinks):</t>
  </si>
  <si>
    <t>Include Extensibility: Open VBA editor, tools-&gt;references, click box for Microsoft VBA extensibility 5.3</t>
  </si>
  <si>
    <t>Project Change Log (latest date first)</t>
  </si>
  <si>
    <t>Show Developer tab in tool bar (VBA): file-&gt;options-&gt;customize ribbon; on right side dialog, click Developer</t>
  </si>
  <si>
    <t>begin building orbWin to mimic software in Spacecraft Mission Design, book author C.Brown, circa 1998</t>
  </si>
  <si>
    <t>1) Start in MainMenu ws; the yellow cells indicate user data entry.  1a) hyperlink to orbit definition ws; 1b) fill in associated orbit type data; 1c) click calculate button</t>
  </si>
  <si>
    <t>Generally follows the calculation processes in C.Brown's book noted above.</t>
  </si>
  <si>
    <t>2) Goal: build a mission report.  Each calculation (calc) gives you the option to log the results in the mReport ws.</t>
  </si>
  <si>
    <t>Orbit Definition and Calculation (Calc)</t>
  </si>
  <si>
    <t>Parameters at a point (pap) Calculation (Calc)</t>
  </si>
  <si>
    <t>Parameter Description</t>
  </si>
  <si>
    <t>Variable</t>
  </si>
  <si>
    <t>Parabolic Central Body</t>
  </si>
  <si>
    <t>2022-09-27, 17:34:08</t>
  </si>
  <si>
    <t>Period in mean solar second</t>
  </si>
  <si>
    <t>Given Elliptical GT Parameters</t>
  </si>
  <si>
    <t>Elliptical GT Calculation Results:</t>
  </si>
  <si>
    <t>Given Circular GT Parameters</t>
  </si>
  <si>
    <t>Longitude of Ascending Node (East)</t>
  </si>
  <si>
    <t>Argument of Latitude</t>
  </si>
  <si>
    <t>**Longitude of Spacecraft**</t>
  </si>
  <si>
    <t>Longitude Angle of Spacecraft</t>
  </si>
  <si>
    <t>**</t>
  </si>
  <si>
    <t>Regression since Node</t>
  </si>
  <si>
    <t>Time since Periapsis</t>
  </si>
  <si>
    <t>rr</t>
  </si>
  <si>
    <t>rr_units</t>
  </si>
  <si>
    <t>rrSun</t>
  </si>
  <si>
    <t>rrMercury</t>
  </si>
  <si>
    <t>rrVenus</t>
  </si>
  <si>
    <t>rrEarth</t>
  </si>
  <si>
    <t>rrMars</t>
  </si>
  <si>
    <t>rrJupiter</t>
  </si>
  <si>
    <t>rrSaturn</t>
  </si>
  <si>
    <t>rrUranus</t>
  </si>
  <si>
    <t>rrNeptune</t>
  </si>
  <si>
    <t>rrPluto</t>
  </si>
  <si>
    <t>rrMoon</t>
  </si>
  <si>
    <t>J2Sun</t>
  </si>
  <si>
    <t>J2Mercury</t>
  </si>
  <si>
    <t>J2Venus</t>
  </si>
  <si>
    <t>J2Earth</t>
  </si>
  <si>
    <t>J2Mars</t>
  </si>
  <si>
    <t>J2Jupiter</t>
  </si>
  <si>
    <t>J2Saturn</t>
  </si>
  <si>
    <t>J2Uranus</t>
  </si>
  <si>
    <t>J2Neptune</t>
  </si>
  <si>
    <t>J2Pluto</t>
  </si>
  <si>
    <t>J2Moon</t>
  </si>
  <si>
    <t>1) Spacecraft Mission Design, C.D.Brown, 1992, 2nd ed., Table C.1</t>
  </si>
  <si>
    <t>deg/sec</t>
  </si>
  <si>
    <t>1) grav const</t>
  </si>
  <si>
    <t>1) rotate rate</t>
  </si>
  <si>
    <t>1) zonal coeff</t>
  </si>
  <si>
    <t>J2</t>
  </si>
  <si>
    <t>J2_units</t>
  </si>
  <si>
    <t>Ref Pointer</t>
  </si>
  <si>
    <t>Reference Sources</t>
  </si>
  <si>
    <t>Update button calls macro to collect/update Astro Constants in Table1-Summary</t>
  </si>
  <si>
    <t>sidereal rotational rates</t>
  </si>
  <si>
    <t>Enter all 4 parameters:</t>
  </si>
  <si>
    <t>i</t>
  </si>
  <si>
    <t>cOmega</t>
  </si>
  <si>
    <t>Omega</t>
  </si>
  <si>
    <t>Latitude of Spacecraft, at t</t>
  </si>
  <si>
    <t>aLa</t>
  </si>
  <si>
    <t>rrAN</t>
  </si>
  <si>
    <t>rgN</t>
  </si>
  <si>
    <t>2) Source 1, but changed angular units</t>
  </si>
  <si>
    <t>be careful of angular units!</t>
  </si>
  <si>
    <t>La</t>
  </si>
  <si>
    <t>tpAN</t>
  </si>
  <si>
    <t>Time since Ascending Node</t>
  </si>
  <si>
    <t>Regression of Nodes rate</t>
  </si>
  <si>
    <t>rgNr</t>
  </si>
  <si>
    <t>Lo</t>
  </si>
  <si>
    <t>aLo</t>
  </si>
  <si>
    <t>CB Rotation since Ascending Node</t>
  </si>
  <si>
    <t>Longitude of Spacecraft, at t (East)</t>
  </si>
  <si>
    <t>msnReport1</t>
  </si>
  <si>
    <t>Plane change &amp; perturbations calculations</t>
  </si>
  <si>
    <t>4_PlanePertur</t>
  </si>
  <si>
    <t>5_Utilities</t>
  </si>
  <si>
    <t>Plane Trigonometry</t>
  </si>
  <si>
    <t>Julian Date Conversion</t>
  </si>
  <si>
    <t>Field of View (FOV) Calculations</t>
  </si>
  <si>
    <t>Propellant Weight Computer</t>
  </si>
  <si>
    <t>Utilities, 5 categories of utilities</t>
  </si>
  <si>
    <t>km/sec</t>
  </si>
  <si>
    <t>plane change calculation date:</t>
  </si>
  <si>
    <t>Plane Change Definition</t>
  </si>
  <si>
    <t>Given Plane Change Parameters</t>
  </si>
  <si>
    <t>Plane Change Calculation Results:</t>
  </si>
  <si>
    <t>alpha</t>
  </si>
  <si>
    <t>dV</t>
  </si>
  <si>
    <t>Longitude of Ascending Node, initial</t>
  </si>
  <si>
    <t>Longitude of Ascending Node, final</t>
  </si>
  <si>
    <t>Inclination, initial</t>
  </si>
  <si>
    <t>Inclination, final</t>
  </si>
  <si>
    <t>Plane Change Angle (delta vectors)</t>
  </si>
  <si>
    <t>shapesList</t>
  </si>
  <si>
    <t>Sub shapesList()</t>
  </si>
  <si>
    <t>buttonList</t>
  </si>
  <si>
    <t>Sub buttonList()  'put buttons list and properities in seperate ws</t>
  </si>
  <si>
    <t>Help manage Excel buttons; list ws buttons in seperate ws</t>
  </si>
  <si>
    <t>buttonFix</t>
  </si>
  <si>
    <t>Sub buttonFix()  'buttons: fix size &amp; properties for ws</t>
  </si>
  <si>
    <t>Fix button size &amp; properties for whole ws</t>
  </si>
  <si>
    <t>buttonExample1</t>
  </si>
  <si>
    <t>Sub buttonExample1()  'button example test/create</t>
  </si>
  <si>
    <t>calcGT</t>
  </si>
  <si>
    <t>Sub calcGT()  'calculate ground track (GT) parameters</t>
  </si>
  <si>
    <t>Calculate ground track (GT) parameters from user input.</t>
  </si>
  <si>
    <t>calcPlane</t>
  </si>
  <si>
    <t>Sub calcPlane()  'calculate plane change</t>
  </si>
  <si>
    <t>viewHideGT1</t>
  </si>
  <si>
    <t>Sub viewHideGT1()  'view or hide rows in ground track (GT) definition block</t>
  </si>
  <si>
    <t>test_msnReport</t>
  </si>
  <si>
    <t>Sub test_msnReport()</t>
  </si>
  <si>
    <t>msnReport</t>
  </si>
  <si>
    <t>Sub msnReport(mrType As String)  'generate mission report in ws</t>
  </si>
  <si>
    <t>msnTitles</t>
  </si>
  <si>
    <t>Get mission report titles from user</t>
  </si>
  <si>
    <t>mReportOD</t>
  </si>
  <si>
    <t>Sub mReportOD(mrType As String, odArray() As Variant, _</t>
  </si>
  <si>
    <t>mReportPAP</t>
  </si>
  <si>
    <t>Sub mReportPAP(mrType As String, odArray() As Variant, _</t>
  </si>
  <si>
    <t>mReportGT</t>
  </si>
  <si>
    <t>Set array with standard set of project directory names.</t>
  </si>
  <si>
    <t>Trust setting: File -&gt; Options -&gt; Trust Center -&gt; Trust Center Settings</t>
  </si>
  <si>
    <t>Extract Excel module procedures/macro data and save in calling worksheet.</t>
  </si>
  <si>
    <t>Break worksheet password.</t>
  </si>
  <si>
    <t>Save orbit definition data to mission report ws.</t>
  </si>
  <si>
    <t>Save parameters at a point data to mission report ws.</t>
  </si>
  <si>
    <t>generate Pareto chart from rankings data</t>
  </si>
  <si>
    <t>format Pugh data space and data headers</t>
  </si>
  <si>
    <t>project_dir_setup</t>
  </si>
  <si>
    <t>Utilities_WBConfig</t>
  </si>
  <si>
    <t>Macro Manage</t>
  </si>
  <si>
    <t>Worsheet headers</t>
  </si>
  <si>
    <t>Vector Math</t>
  </si>
  <si>
    <t>Utilities</t>
  </si>
  <si>
    <t>Data Logging</t>
  </si>
  <si>
    <t>Help organize similar macro functions together.  Maybe blank.</t>
  </si>
  <si>
    <t>management, hardware</t>
  </si>
  <si>
    <t>Trigonometry</t>
  </si>
  <si>
    <t>Time_Calendar</t>
  </si>
  <si>
    <t>Coordinate_Systems</t>
  </si>
  <si>
    <t>Moon_Eclipses</t>
  </si>
  <si>
    <t>Orbit_Planning</t>
  </si>
  <si>
    <t>Planets_Comets</t>
  </si>
  <si>
    <t>Astro, Mission</t>
  </si>
  <si>
    <t>QFD</t>
  </si>
  <si>
    <t>Utilities_HeaderSet</t>
  </si>
  <si>
    <t>Eliptical orbit definition calculations from user input ws</t>
  </si>
  <si>
    <t>iIni</t>
  </si>
  <si>
    <t>iFin</t>
  </si>
  <si>
    <t>cOmegaI</t>
  </si>
  <si>
    <t>cOmegaF</t>
  </si>
  <si>
    <t>Velocity at impulse time</t>
  </si>
  <si>
    <t>delta Velocity, plane change</t>
  </si>
  <si>
    <t>VImp</t>
  </si>
  <si>
    <t>macro collection date:</t>
  </si>
  <si>
    <t>NOTE: manage macros button clears old data; after the headers</t>
  </si>
  <si>
    <t>Case statement gives english description for ProcKind; module type</t>
  </si>
  <si>
    <t>https://orbital-mechanics.space/orbital-maneuvers/plane-change-example.html</t>
  </si>
  <si>
    <t>Circular GT Calculation Results:</t>
  </si>
  <si>
    <t>Input Range 1: Enter all 2 parameters, or:</t>
  </si>
  <si>
    <t>Input Range 2: Enter all 5 parameters:</t>
  </si>
  <si>
    <t>View or hide rows in GT (ground track) data block</t>
  </si>
  <si>
    <t>Sub mReportGT(mrType As String, gtArray() As Variant, _</t>
  </si>
  <si>
    <t>Save ground track data to mission report ws.</t>
  </si>
  <si>
    <t>mReportPcP</t>
  </si>
  <si>
    <t>Sub mReportPcP(mrType As String, pcpArray() As Variant, _</t>
  </si>
  <si>
    <t>Save plane change and perturbations data to mission report ws.</t>
  </si>
  <si>
    <t>User selects to generate mission report in ws.</t>
  </si>
  <si>
    <t>Plane Trigonometry Definition</t>
  </si>
  <si>
    <t>Given Plane Trigonometry Parameters</t>
  </si>
  <si>
    <t>Plane Trigonometry Calculation Results:</t>
  </si>
  <si>
    <t>Input Range 2: Enter 3 parameters:</t>
  </si>
  <si>
    <t>Input Range 1: Enter 3 parameters:</t>
  </si>
  <si>
    <t>Sides in consistant distance units</t>
  </si>
  <si>
    <t>Input Range 3: Enter 3 parameters:</t>
  </si>
  <si>
    <t>Angle, A</t>
  </si>
  <si>
    <t>Side, c</t>
  </si>
  <si>
    <t>Side, b</t>
  </si>
  <si>
    <t>Side, a</t>
  </si>
  <si>
    <t>Angle, B</t>
  </si>
  <si>
    <t>Calendar / Julian Date Conversion</t>
  </si>
  <si>
    <t>Ehpemeris Calculations</t>
  </si>
  <si>
    <t>Inclination</t>
  </si>
  <si>
    <t>Longitude of Ascending Node</t>
  </si>
  <si>
    <t>Propellant Definition</t>
  </si>
  <si>
    <t>FOV (field of view) Definition</t>
  </si>
  <si>
    <t>FOV calculation date:</t>
  </si>
  <si>
    <t>Given FOV Parameters</t>
  </si>
  <si>
    <t>FOV Calculation Results:</t>
  </si>
  <si>
    <t>Utility Function Index</t>
  </si>
  <si>
    <t>Ufun#</t>
  </si>
  <si>
    <t>calcUtils</t>
  </si>
  <si>
    <t>Sub calcUtils()  'user choice of Utility function calculation</t>
  </si>
  <si>
    <t>User choice of utility function for calculation</t>
  </si>
  <si>
    <t>calcUt_1</t>
  </si>
  <si>
    <t>calcUt_2</t>
  </si>
  <si>
    <t>Sub calcUt_2(utWS As Worksheet)  'Julian date conversions</t>
  </si>
  <si>
    <t>calcUt_3</t>
  </si>
  <si>
    <t>calcUt_4</t>
  </si>
  <si>
    <t>calcUt_5</t>
  </si>
  <si>
    <t>viewHideUtil</t>
  </si>
  <si>
    <t>Sub viewHideUtil()  'user choice to view or hide utility function blocks</t>
  </si>
  <si>
    <t>User choice to view or hide the various utility function blocks</t>
  </si>
  <si>
    <t>viewHideUt</t>
  </si>
  <si>
    <t>Sub viewHideUt(WS As Worksheet, fType As String, hide As Boolean) 'Utilities view or hide rows ws</t>
  </si>
  <si>
    <t>User chose, view or hide rows in Utilities ws</t>
  </si>
  <si>
    <t>To run macros from Personal.xlsb; Developer tab,  in Code group-&gt;Macros select all open workbooks</t>
  </si>
  <si>
    <t>Open VB editor: tools-&gt;References, select personal.xlsb OR the renamed personal.xlsb</t>
  </si>
  <si>
    <t>Calendar Date, yyyy-mm-dd.xxxxx</t>
  </si>
  <si>
    <t>JD</t>
  </si>
  <si>
    <t>Given Calendar Parameters</t>
  </si>
  <si>
    <t>Calendar Calculation Results:</t>
  </si>
  <si>
    <t>Function CF_Dec1(n As Double, Optional t = 0.000001, Optional M = 20)</t>
  </si>
  <si>
    <t>Mod9a_MSWordInterface</t>
  </si>
  <si>
    <t>Mod9b_Astro</t>
  </si>
  <si>
    <t>Function degdecimal(D, M, S)</t>
  </si>
  <si>
    <t>CDJD</t>
  </si>
  <si>
    <t>Function CDJD(day As Double, Month As Double, Year As Double) As Double</t>
  </si>
  <si>
    <t>Calendar day to Julian day conversion; accomodates negative years.</t>
  </si>
  <si>
    <t>Function kepler(M As Double, ecc As Double, Optional eps)</t>
  </si>
  <si>
    <t>Mod9c_Mission</t>
  </si>
  <si>
    <t>Sub calcUt_1(utWS As Worksheet)  'plane trigonometry calculations</t>
  </si>
  <si>
    <t>Mod9d_QFD</t>
  </si>
  <si>
    <t>Julian Day</t>
  </si>
  <si>
    <t>dateS</t>
  </si>
  <si>
    <t>Calendar Date, yyyy-mm-dd, hh:mm:ss</t>
  </si>
  <si>
    <t>dateS1</t>
  </si>
  <si>
    <t>calendar calculation date:</t>
  </si>
  <si>
    <t>JDCday</t>
  </si>
  <si>
    <t>Function JDCday(JD As Double) As Double  'convert Julian day to calendar date</t>
  </si>
  <si>
    <t>Julian day to calendar date conversion; returns calendar day only, not year, ...</t>
  </si>
  <si>
    <t>JDCD</t>
  </si>
  <si>
    <t>Sub JDCD(JD As Double, JDCyear As Double, JDCmonth As Double, _</t>
  </si>
  <si>
    <t>Julian day to calendar date conversion; including negative years.</t>
  </si>
  <si>
    <t>Calendar conversions, Julian &lt;-&gt; Calendar.</t>
  </si>
  <si>
    <t>Sub msnTitles(title1 As String, title2 As String)  'mission titles from user</t>
  </si>
  <si>
    <t>mReportJDCD</t>
  </si>
  <si>
    <t>Sub mReportJDCD(mrType As String, utArray() As Variant, _</t>
  </si>
  <si>
    <t>Mission report calendar conversions, Julian&lt;-&gt;Calendar; from Utilities ws.</t>
  </si>
  <si>
    <t>Table1b-Details, Astro Constants</t>
  </si>
  <si>
    <t>inc</t>
  </si>
  <si>
    <t>mLo</t>
  </si>
  <si>
    <t>' inc = I, inclination [deg]</t>
  </si>
  <si>
    <t>' cOmega = o, longitude of the ascending node [deg], i.e. RAAN</t>
  </si>
  <si>
    <t>' Omgea = p, longitude of perihelion [deg]</t>
  </si>
  <si>
    <t>' a = A, semi-major axis [AU]</t>
  </si>
  <si>
    <t>' ecc = E, eccentricity [no units]</t>
  </si>
  <si>
    <t>check out:</t>
  </si>
  <si>
    <t>Keith Burnett   http://www.xylem.f2s.com/kepler/</t>
  </si>
  <si>
    <t>Thomas Kraus  www.astroexcel.de</t>
  </si>
  <si>
    <t>https://stjarnhimlen.se/comp/ppcomp.html#3</t>
  </si>
  <si>
    <t>Extract macro list, save in active workbook/worksheet.</t>
  </si>
  <si>
    <t>Returns true anomaly, using Kepler equation. Solution using Newton's method.</t>
  </si>
  <si>
    <t>element_1</t>
  </si>
  <si>
    <t>Astro_Mission</t>
  </si>
  <si>
    <t>Input Range 2: Enter Julian day</t>
  </si>
  <si>
    <t>yyyy-mm-dd, hh:mm:ss  OR  yyyy-mm-dd.xxxxx</t>
  </si>
  <si>
    <t>Input Range 1: Enter Calendar day, 1 of 2 formats (string !)</t>
  </si>
  <si>
    <t>Ephemeris Definition</t>
  </si>
  <si>
    <t>Given Ephemeris Parameters</t>
  </si>
  <si>
    <t>Ephemeris Calculation Results:</t>
  </si>
  <si>
    <t>ephemeris calculation date:</t>
  </si>
  <si>
    <t>trigonometry calculation date:</t>
  </si>
  <si>
    <t>Reference ecliptic and equinox</t>
  </si>
  <si>
    <t>refEcl</t>
  </si>
  <si>
    <t>Jday</t>
  </si>
  <si>
    <t>Cdate</t>
  </si>
  <si>
    <t>Ephemeris Body (central=Sun)</t>
  </si>
  <si>
    <t>Calendar Date</t>
  </si>
  <si>
    <t>CDate</t>
  </si>
  <si>
    <t>JDay</t>
  </si>
  <si>
    <t>Input: Enter EITHER JD  or  date / time format</t>
  </si>
  <si>
    <t>dateS1, dateS</t>
  </si>
  <si>
    <t>Sub calcUt_3(utWS As Worksheet)  'ephemeris</t>
  </si>
  <si>
    <t>Ephermis calculations based on date/time user input.</t>
  </si>
  <si>
    <t>(1)Parse input string for calendar date &amp; time, (2)Calculate Julian day.</t>
  </si>
  <si>
    <t>Delete all buttons, then create:</t>
  </si>
  <si>
    <t>Extract numeric from string; example "Task Descriptions: Task 01"</t>
  </si>
  <si>
    <t>Open msWord: is or is not open, and if the document is or is not open.</t>
  </si>
  <si>
    <t>Given Julian day (1) convert to calendar date, (2) format to yyyy-mm-dd.xxxxx, (3) yyyy-mm-dd, hh:mm:ss</t>
  </si>
  <si>
    <t>Ephemeris tables; planetary for now, 2022</t>
  </si>
  <si>
    <t>EphemTbls</t>
  </si>
  <si>
    <t>EM-Bary</t>
  </si>
  <si>
    <t>[AU, AU/Cy]</t>
  </si>
  <si>
    <t>[deg, deg/Cy]</t>
  </si>
  <si>
    <t>https://ssd.jpl.nasa.gov/planets/approx_pos.html</t>
  </si>
  <si>
    <t>none</t>
  </si>
  <si>
    <t>J2000.0</t>
  </si>
  <si>
    <t>1800-01-01</t>
  </si>
  <si>
    <t>2050-01-01</t>
  </si>
  <si>
    <t>-3000-01-01</t>
  </si>
  <si>
    <t>3000-01-01</t>
  </si>
  <si>
    <t>c</t>
  </si>
  <si>
    <t>s</t>
  </si>
  <si>
    <t>f</t>
  </si>
  <si>
    <t>lower date:</t>
  </si>
  <si>
    <t>upper date:</t>
  </si>
  <si>
    <t>ref mean Ecliptic:</t>
  </si>
  <si>
    <t>Return planetary orbital elements; heritage code; not sure I trust these outputs.</t>
  </si>
  <si>
    <t>Return planetary orbital elements; updated 2022; not sure I trust these outputs.</t>
  </si>
  <si>
    <t>element_2</t>
  </si>
  <si>
    <t>Return planetary orbital elements; read from ws table</t>
  </si>
  <si>
    <t>Distance to Swath Edge</t>
  </si>
  <si>
    <t>Velocity Change</t>
  </si>
  <si>
    <t>Specific Impulse</t>
  </si>
  <si>
    <t>Initial Mass</t>
  </si>
  <si>
    <t>Final Mass</t>
  </si>
  <si>
    <t>Propellant Mass</t>
  </si>
  <si>
    <t>Isp</t>
  </si>
  <si>
    <t>deltaV</t>
  </si>
  <si>
    <t>Field of View (FOV)</t>
  </si>
  <si>
    <t>Input: FOV and Either Altitude or Radius</t>
  </si>
  <si>
    <t>Table4-Orbital Elements, 4-coefficient</t>
  </si>
  <si>
    <t>Table3b-Orbital Elements; terms for M computation</t>
  </si>
  <si>
    <t>Table3a-Orbital Elements, 2-coefficient: 3000 BC&lt;-&gt; 3000 AD</t>
  </si>
  <si>
    <t>Table2-Orbital Elements, 2-coefficient: 1800 AD &lt;-&gt; 2050 AD</t>
  </si>
  <si>
    <t>-0.000000002D1</t>
  </si>
  <si>
    <t>Julian day</t>
  </si>
  <si>
    <t>mean Longitude of body; @ date (Eastward)</t>
  </si>
  <si>
    <t>FOV</t>
  </si>
  <si>
    <t>FOV Body</t>
  </si>
  <si>
    <t>dSe</t>
  </si>
  <si>
    <t>alphaI</t>
  </si>
  <si>
    <t>Swath Width, FOV</t>
  </si>
  <si>
    <t>propellant calculation date:</t>
  </si>
  <si>
    <t>mi</t>
  </si>
  <si>
    <t>mf</t>
  </si>
  <si>
    <t>mp</t>
  </si>
  <si>
    <t>Propellant Calculation Results:</t>
  </si>
  <si>
    <t>Given Propellant Parameters</t>
  </si>
  <si>
    <t>kg</t>
  </si>
  <si>
    <t>Input 3 of 4 : deltaV, Isp, initial mass, final mass</t>
  </si>
  <si>
    <t>2022-11-02, 13:39:17</t>
  </si>
  <si>
    <t>sideC</t>
  </si>
  <si>
    <t>sideB</t>
  </si>
  <si>
    <t>angA</t>
  </si>
  <si>
    <t>sideA</t>
  </si>
  <si>
    <t>angB</t>
  </si>
  <si>
    <t>Input Range 4: Enter 3 parameters (may have 2 solutions):</t>
  </si>
  <si>
    <t>2022, Presently, I use this table; converted table31A (J.Meeus above) to parameters shown below; did NOT verify each planet !</t>
  </si>
  <si>
    <t>test_element_x</t>
  </si>
  <si>
    <t>Sub test_element_x()</t>
  </si>
  <si>
    <t>Planets</t>
  </si>
  <si>
    <t>element_3</t>
  </si>
  <si>
    <t>Return planetary orbital elements; read from ws table.</t>
  </si>
  <si>
    <t>Plane triangle calculations.</t>
  </si>
  <si>
    <t>Sub calcUt_4(utWS As Worksheet)  'FOV, field-of-view</t>
  </si>
  <si>
    <t>FOV (field of view) calculations.</t>
  </si>
  <si>
    <t>Sub calcUt_5(utWS As Worksheet)  'propellant calculations.</t>
  </si>
  <si>
    <t>Propellant calculations.</t>
  </si>
  <si>
    <t>mReportPTrig</t>
  </si>
  <si>
    <t>Sub mReportPTrig(mrType As String, utArray() As Variant, _</t>
  </si>
  <si>
    <t>Mission report plane trigonometry (triangle) calculations.</t>
  </si>
  <si>
    <t>mReportEph</t>
  </si>
  <si>
    <t>Sub mReportEph(mrType As String, utArray() As Variant, _</t>
  </si>
  <si>
    <t>Mission report ephemeris calculations</t>
  </si>
  <si>
    <t>mReportFOV</t>
  </si>
  <si>
    <t>Sub mReportFOV(mrType As String, utArray() As Variant, _</t>
  </si>
  <si>
    <t>Mission report FOV (field of view) calculations.</t>
  </si>
  <si>
    <t>mReportProp</t>
  </si>
  <si>
    <t>Sub mReportProp(mrType As String, utArray() As Variant, _</t>
  </si>
  <si>
    <t>Mission report propellant calculations.</t>
  </si>
  <si>
    <t>Perturbations Definition</t>
  </si>
  <si>
    <t>perturbations calculation date:</t>
  </si>
  <si>
    <t>Given Perturbation Parameters</t>
  </si>
  <si>
    <t>Perturbation Calculation Results:</t>
  </si>
  <si>
    <t>Inputs</t>
  </si>
  <si>
    <t>Orbit Inclination to equator</t>
  </si>
  <si>
    <t>Regression of Nodes</t>
  </si>
  <si>
    <t>Apsides Rotation</t>
  </si>
  <si>
    <t>Central Body</t>
  </si>
  <si>
    <t>2022-11-04, 14:04:42</t>
  </si>
  <si>
    <t>calcPP</t>
  </si>
  <si>
    <t>Sub calcPP()  'user choice: calculate plane change OR purturbations</t>
  </si>
  <si>
    <t>User choice: plane change OR purturbation calculations</t>
  </si>
  <si>
    <t>Calculate plane change &amp; delta V required.</t>
  </si>
  <si>
    <t>viewHidePP</t>
  </si>
  <si>
    <t>Sub viewHidePP()  'view/hide rows in plane change &amp; perturbation definition block</t>
  </si>
  <si>
    <t>User choice, view or hide plane change or perturbation function blocks</t>
  </si>
  <si>
    <t>viewHidePP1</t>
  </si>
  <si>
    <t>Sub viewHidePP1(WS As Worksheet, fType As String, hide As Boolean) 'view or hide rows ws</t>
  </si>
  <si>
    <t>User chose, view or hide rows in plane change &amp; perturbation ws</t>
  </si>
  <si>
    <t>2022-11-04, 15:31:02</t>
  </si>
  <si>
    <t>Circular Parameter Point Definition</t>
  </si>
  <si>
    <t>pap circular calculation date:</t>
  </si>
  <si>
    <t>Given Circular Parameter Point</t>
  </si>
  <si>
    <t>Circular Parameter Point Calculation Results:</t>
  </si>
  <si>
    <t>User choose, view or hide PAP definition blocks (parameters at a point).</t>
  </si>
  <si>
    <t>Sub viewHidePAP(WS As Worksheet, oType As String, hide As Boolean) 'view or hide rows</t>
  </si>
  <si>
    <t>View or hide rows in PAP (parameters at a point) definition block.</t>
  </si>
  <si>
    <t>Swath Width, horizon</t>
  </si>
  <si>
    <t>Orbital Period</t>
  </si>
  <si>
    <t>2022-11-07, 16:23:15</t>
  </si>
  <si>
    <t>orbit parameters come from orbit definition ws</t>
  </si>
  <si>
    <t>2022-11-07, 17:06:47</t>
  </si>
  <si>
    <t>convert arcsec to decimal degrees [arcsec / Cy]</t>
  </si>
  <si>
    <t>NO user parameters to enter here</t>
  </si>
  <si>
    <t>min</t>
  </si>
  <si>
    <t>2022-11-07, 23:34:18</t>
  </si>
  <si>
    <t>Turning Angle</t>
  </si>
  <si>
    <t>done, 2022-11-07</t>
  </si>
  <si>
    <t>done, 2022-11-08</t>
  </si>
  <si>
    <t>2022-11-08, 11:52:42</t>
  </si>
  <si>
    <t>2022-11-08, 15:01:04</t>
  </si>
  <si>
    <t>2022-11-08, 16:14:37</t>
  </si>
  <si>
    <t>2022-11-08, 16:16:37</t>
  </si>
  <si>
    <t>1988-07-26</t>
  </si>
  <si>
    <t>in process, 2022-11-08</t>
  </si>
  <si>
    <t>Table-Ephemeris Summary</t>
  </si>
  <si>
    <t>1) Jean Meeus, Astronomical Algorithms, cc2015, 2nd ed., 7th printing, pp212,213, table31A</t>
  </si>
  <si>
    <t>2) Pluto, Vallado, 4th ed., appendix D, pp1148</t>
  </si>
  <si>
    <t>Calendar Day</t>
  </si>
  <si>
    <t>Ephemeris Day</t>
  </si>
  <si>
    <t>[none]</t>
  </si>
  <si>
    <t>ephemeris summary calculation date:</t>
  </si>
  <si>
    <t>omega</t>
  </si>
  <si>
    <t>[deg]</t>
  </si>
  <si>
    <t>M</t>
  </si>
  <si>
    <t>Table5-Orbital Elements, 2-coefficient</t>
  </si>
  <si>
    <t>w_hat</t>
  </si>
  <si>
    <t>RAAN</t>
  </si>
  <si>
    <t>1) H.D. Curtis, Orbital Mechanics for Engineering Students, 2nd Ed., 2009; NOTE Table 8.1 does NOT match code, planet_elements_and_sv.m</t>
  </si>
  <si>
    <t>RAAN (or W)</t>
  </si>
  <si>
    <t>test_formatJDCD</t>
  </si>
  <si>
    <t>Sub test_formatJDCD()</t>
  </si>
  <si>
    <t>formatJDCD</t>
  </si>
  <si>
    <t>Sub formatJDCD(JD As Double, dateS As String, dateS1 As String) 'convert &amp; format calendar date</t>
  </si>
  <si>
    <t>test_element_4</t>
  </si>
  <si>
    <t>Sub test_element_4()</t>
  </si>
  <si>
    <t>test orbital elements read from ws table.</t>
  </si>
  <si>
    <t>element_4</t>
  </si>
  <si>
    <t>Sub element_4(inc As Double, RAAN As Double, w_hat As Double, a As Double, _</t>
  </si>
  <si>
    <t>calcPEph</t>
  </si>
  <si>
    <t>Sub calcPEph()  'calculate planets ephemeris summary table</t>
  </si>
  <si>
    <t>Calculate planetary ephemeris summary table based on date/time user input.</t>
  </si>
  <si>
    <t>formatCDJD</t>
  </si>
  <si>
    <t>Sub formatCDJD(dateS As String, JD As Double, erFlag As Integer)</t>
  </si>
  <si>
    <t>viewHideEphM</t>
  </si>
  <si>
    <t>Sub viewHideEphM()  'view/hide ephemeris models</t>
  </si>
  <si>
    <t>User choice, view or hide ephemeris models/tables.</t>
  </si>
  <si>
    <t>viewHideEph</t>
  </si>
  <si>
    <t>Sub viewHideEph(WS As Worksheet, fType As String, hide As Boolean)</t>
  </si>
  <si>
    <t>View/hide specific ephemeris summary and models/tables</t>
  </si>
  <si>
    <t>Eph. Model:</t>
  </si>
  <si>
    <t>2) Standish 1992, quoted in H.D. Curtis book</t>
  </si>
  <si>
    <t>User Choice, Ephemeris Models:</t>
  </si>
  <si>
    <t>Coefficient Tbl</t>
  </si>
  <si>
    <t>Macro Execution</t>
  </si>
  <si>
    <t>element_3a</t>
  </si>
  <si>
    <t>Longitude of Periapsis</t>
  </si>
  <si>
    <t>AU [km]</t>
  </si>
  <si>
    <t>[km]</t>
  </si>
  <si>
    <r>
      <rPr>
        <b/>
        <sz val="10"/>
        <color theme="1"/>
        <rFont val="Arial"/>
        <family val="2"/>
      </rPr>
      <t>see EphemTbls</t>
    </r>
    <r>
      <rPr>
        <sz val="10"/>
        <color theme="1"/>
        <rFont val="Arial"/>
        <family val="2"/>
      </rPr>
      <t xml:space="preserve"> ws, ephemeris model choices</t>
    </r>
  </si>
  <si>
    <t>Sub element_3a(inc As Double, RAAN As Double, w_hat As Double, a As Double, _</t>
  </si>
  <si>
    <t>Mission planning collection</t>
  </si>
  <si>
    <t>6_MissionPlan</t>
  </si>
  <si>
    <t>1988-04-08</t>
  </si>
  <si>
    <t>2022-11-13, 14:10:55</t>
  </si>
  <si>
    <t>title 1: Earth Launch to Venus</t>
  </si>
  <si>
    <t xml:space="preserve">title 2: </t>
  </si>
  <si>
    <t>2022-11-13, 14:12:50</t>
  </si>
  <si>
    <t>title 1: Venus at Arrival Transfer</t>
  </si>
  <si>
    <t>[AU]</t>
  </si>
  <si>
    <t>rad</t>
  </si>
  <si>
    <t>degree</t>
  </si>
  <si>
    <t>Itterations: tran=transfer</t>
  </si>
  <si>
    <t>JD1</t>
  </si>
  <si>
    <t>JD2</t>
  </si>
  <si>
    <t>delta_JD</t>
  </si>
  <si>
    <t>days</t>
  </si>
  <si>
    <t>1) Departure Phase</t>
  </si>
  <si>
    <t>3) Arrival Phase</t>
  </si>
  <si>
    <t>2) Cruise Phase - Transfer Ellipse or Hyperbola</t>
  </si>
  <si>
    <t>Patched Conic Mission Breakdown:</t>
  </si>
  <si>
    <t>calcMissonPlan</t>
  </si>
  <si>
    <t>viewHideMissionPlan</t>
  </si>
  <si>
    <t>View/hide mission plans.</t>
  </si>
  <si>
    <t>ta1 [deg]</t>
  </si>
  <si>
    <t>ta2 [deg]</t>
  </si>
  <si>
    <t>r1 [km]</t>
  </si>
  <si>
    <t>r2 [km]</t>
  </si>
  <si>
    <t>ecc1</t>
  </si>
  <si>
    <t>RAAN2 (or W)</t>
  </si>
  <si>
    <t>w_hat2</t>
  </si>
  <si>
    <t>mLo2</t>
  </si>
  <si>
    <t>inc2</t>
  </si>
  <si>
    <t>ecc2</t>
  </si>
  <si>
    <t>a2</t>
  </si>
  <si>
    <t>a1 [km]</t>
  </si>
  <si>
    <t>inc1 [deg]</t>
  </si>
  <si>
    <t>mLo1 [deg]</t>
  </si>
  <si>
    <t>w_hat1 [deg]</t>
  </si>
  <si>
    <t>RAAN1 (or W) [deg]</t>
  </si>
  <si>
    <t>Omega1</t>
  </si>
  <si>
    <t>Omega2</t>
  </si>
  <si>
    <t>t_Omega1</t>
  </si>
  <si>
    <t>t_ta1 [deg]</t>
  </si>
  <si>
    <t>t_r1 [km]</t>
  </si>
  <si>
    <t>t_ta1</t>
  </si>
  <si>
    <t>t_ta2</t>
  </si>
  <si>
    <t>t_ecc</t>
  </si>
  <si>
    <t>t_rp</t>
  </si>
  <si>
    <t>t_a</t>
  </si>
  <si>
    <t>t_n</t>
  </si>
  <si>
    <t>t_E1</t>
  </si>
  <si>
    <t>t_E2</t>
  </si>
  <si>
    <t>t_t1</t>
  </si>
  <si>
    <t>t_t2</t>
  </si>
  <si>
    <t>t_tof</t>
  </si>
  <si>
    <t>t_tp</t>
  </si>
  <si>
    <t>Departure Phase - Hyperbola #1</t>
  </si>
  <si>
    <t>Arrival Phase - Hyperbola #1</t>
  </si>
  <si>
    <t>Cruise Phase - Transfer Ellipse #1</t>
  </si>
  <si>
    <t>Launch Ephemeris Day</t>
  </si>
  <si>
    <t>Launch Orbital Elements</t>
  </si>
  <si>
    <t>Arrival Ephemeris Day</t>
  </si>
  <si>
    <t>Arrival Orbital Elements</t>
  </si>
  <si>
    <t>Time between JD1, JD2</t>
  </si>
  <si>
    <t>Arrival Body, ABody</t>
  </si>
  <si>
    <t>Launch Body, LBody</t>
  </si>
  <si>
    <t>CD1</t>
  </si>
  <si>
    <t>CD2</t>
  </si>
  <si>
    <t>2022-11-16, 17:55:57</t>
  </si>
  <si>
    <t>Transfer Orbital Elements</t>
  </si>
  <si>
    <t>t_ta1X</t>
  </si>
  <si>
    <t>TEllipse</t>
  </si>
  <si>
    <t>TEllipse rp</t>
  </si>
  <si>
    <t>TEllipse a</t>
  </si>
  <si>
    <t>TEllipse E1</t>
  </si>
  <si>
    <t>TEllipse E2</t>
  </si>
  <si>
    <t>TEllipse t1</t>
  </si>
  <si>
    <t>TEllipse t2</t>
  </si>
  <si>
    <t>assume TEllipse</t>
  </si>
  <si>
    <t>mean motion; re:sun</t>
  </si>
  <si>
    <t>orbit period</t>
  </si>
  <si>
    <t>calc. TOF</t>
  </si>
  <si>
    <t>t_ta2X</t>
  </si>
  <si>
    <t>t_eccX</t>
  </si>
  <si>
    <t>t_rpX</t>
  </si>
  <si>
    <t>t_nX</t>
  </si>
  <si>
    <t>t_tpX</t>
  </si>
  <si>
    <t>t_E1X</t>
  </si>
  <si>
    <t>t_E2X</t>
  </si>
  <si>
    <t>t_ta1XX</t>
  </si>
  <si>
    <t>User iterates to find tof (time of flight)</t>
  </si>
  <si>
    <t>grey box filled in by macro</t>
  </si>
  <si>
    <t>t_aX</t>
  </si>
  <si>
    <t>t_RAANX</t>
  </si>
  <si>
    <t>t_w_hatX</t>
  </si>
  <si>
    <t>t_mLoX</t>
  </si>
  <si>
    <t>t_incX</t>
  </si>
  <si>
    <t>t_tofX</t>
  </si>
  <si>
    <t>t_t2X</t>
  </si>
  <si>
    <t>t_t1X</t>
  </si>
  <si>
    <t>t_Ax</t>
  </si>
  <si>
    <t>Initial calc.</t>
  </si>
  <si>
    <t>delta calc.</t>
  </si>
  <si>
    <t>t_sa</t>
  </si>
  <si>
    <t>t_bp</t>
  </si>
  <si>
    <t>t_b</t>
  </si>
  <si>
    <t>arg of periapsis</t>
  </si>
  <si>
    <t>Angle, C</t>
  </si>
  <si>
    <t>angC</t>
  </si>
  <si>
    <t>2nd Solutions</t>
  </si>
  <si>
    <t>Angle, B1</t>
  </si>
  <si>
    <t>angB1</t>
  </si>
  <si>
    <t>Angle, C1</t>
  </si>
  <si>
    <t>angC1</t>
  </si>
  <si>
    <t>Side, c1</t>
  </si>
  <si>
    <t>sideC1</t>
  </si>
  <si>
    <t>2022-11-21, 12:01:35</t>
  </si>
  <si>
    <t>true anomaly</t>
  </si>
  <si>
    <t>b prime</t>
  </si>
  <si>
    <t>t_c</t>
  </si>
  <si>
    <t>spherical angles from C.D. Brown</t>
  </si>
  <si>
    <t>t_sin_it</t>
  </si>
  <si>
    <t>t_'cos_c</t>
  </si>
  <si>
    <t>t_inc</t>
  </si>
  <si>
    <t>I know this is the wrong adjustment; good enough for now, 2022</t>
  </si>
  <si>
    <t>Return planetary orbital elements, 4-coefficient; read from ws table.</t>
  </si>
  <si>
    <t>Sub calcMissonPlan()  'Calculate mission plan; user choices.</t>
  </si>
  <si>
    <t>Calculate mission plan; user choices.</t>
  </si>
  <si>
    <t>calcMissionP</t>
  </si>
  <si>
    <t>Sub calcMissionP(ephBody As String, ephModel As String, JD As Double, erFlag As Integer)</t>
  </si>
  <si>
    <t>Calculate planet ephemeris for misssion plan ws.</t>
  </si>
  <si>
    <t>Sub viewHideMissionPlan()  'view/hide mission plans</t>
  </si>
  <si>
    <t>viewHideMissionP</t>
  </si>
  <si>
    <t>Sub viewHideMissionP(WS As Worksheet, fType As String, hide As Boolean)</t>
  </si>
  <si>
    <t>View/hide mission plan models</t>
  </si>
  <si>
    <t>v1 [km/s]</t>
  </si>
  <si>
    <t>v2 [km/s]</t>
  </si>
  <si>
    <t>t_v1 [km/s]</t>
  </si>
  <si>
    <t>2018-11-01</t>
  </si>
  <si>
    <t>2022-11-22, 15:18:22</t>
  </si>
  <si>
    <t>2022-11-22, 15:18:33</t>
  </si>
  <si>
    <t>finished building Excel macro's based on C.Brown's book, next tasks to update software based on use cases</t>
  </si>
  <si>
    <t>References:</t>
  </si>
  <si>
    <t>C.D.Brown, "Spacecraft Mission Design", AIAA, circa 1998, &amp; software OrbWin</t>
  </si>
  <si>
    <t>t_Vr1</t>
  </si>
  <si>
    <t>t_Vr2</t>
  </si>
  <si>
    <t>t_fp1</t>
  </si>
  <si>
    <t>t_fp2</t>
  </si>
  <si>
    <t>flight path</t>
  </si>
  <si>
    <t>fp2</t>
  </si>
  <si>
    <t>fp1 [rad]</t>
  </si>
  <si>
    <t>long periapsis</t>
  </si>
  <si>
    <t>https://orbital-mechanics.space/classical-orbital-elements/orbital-elements-and-the-state-vector.html</t>
  </si>
  <si>
    <t>Function CF_Expan(ByVal X As Double, ByVal NrFraction As Integer) As Integer</t>
  </si>
  <si>
    <t>vCPxx</t>
  </si>
  <si>
    <t>Function vCPxx(v1 As Range, v2 As Range) As Variant  'vector cross product</t>
  </si>
  <si>
    <t>vCP2</t>
  </si>
  <si>
    <t>Function vCP2(v1() As Double, v2() As Double) As Double</t>
  </si>
  <si>
    <t>Calculate array cross product.</t>
  </si>
  <si>
    <t>RotPointsX</t>
  </si>
  <si>
    <t>Function RotPointsX(ByRef pts(), angle_rad As Double) As Variant()</t>
  </si>
  <si>
    <t>RotPointsY</t>
  </si>
  <si>
    <t>Function RotPointsY(ByRef pts(), angle_rad As Double) As Variant()</t>
  </si>
  <si>
    <t>RotPointsZ</t>
  </si>
  <si>
    <t>Function RotPointsZ(ByRef pts() As Variant, angle_rad As Double) As Variant()</t>
  </si>
  <si>
    <t>AsArray</t>
  </si>
  <si>
    <t>Function AsArray(ByVal r_pts As Range) As Variant()</t>
  </si>
  <si>
    <t>Rot3D</t>
  </si>
  <si>
    <t>Function Rot3D(ByVal rng1 As Range, ByVal rng2 As Range, ByVal rng3 As Range, ByVal rng4 As Range)</t>
  </si>
  <si>
    <t>RotateRange</t>
  </si>
  <si>
    <t>Function RotateRange(RRange As Variant) As Variant</t>
  </si>
  <si>
    <t>Function DegSin(X As Double) As Double</t>
  </si>
  <si>
    <t>Function DegCos(X As Double) As Double</t>
  </si>
  <si>
    <t>Function DegTan(X As Double) As Double</t>
  </si>
  <si>
    <t>Function DegArcsin(X As Double) As Double</t>
  </si>
  <si>
    <t>Function DegArccos(X As Double) As Double</t>
  </si>
  <si>
    <t>Function DegArctan(X As Double) As Double</t>
  </si>
  <si>
    <t>Function DegAtan2(Y As Double, X As Double) As Double</t>
  </si>
  <si>
    <t>Function range2pi(X As Double)</t>
  </si>
  <si>
    <t>Function range360(X)</t>
  </si>
  <si>
    <t>Function rlength(X As Double, Y As Double, Z As Double) As Double</t>
  </si>
  <si>
    <t>Function spherical(X As Double, Y As Double, Z As Double, Index As Integer) As Double</t>
  </si>
  <si>
    <t>Function rEquatorial(X As Double, Y As Double, Z As Double, D As Double, Index As Integer) As Double</t>
  </si>
  <si>
    <t>Function rEcliptic(X As Double, Y As Double, Z As Double, D As Double, Index As Integer) As Double</t>
  </si>
  <si>
    <t>Sub element(i As Double, o As Double, p As Double, a As Double, _</t>
  </si>
  <si>
    <t>Sub element_1(i As Double, o As Double, p As Double, a As Double, _</t>
  </si>
  <si>
    <t>Sub element_2(i As Double, o As Double, p As Double, a As Double, _</t>
  </si>
  <si>
    <t>Sub element_3(i As Double, o As Double, p As Double, a As Double, _</t>
  </si>
  <si>
    <t>Math, Continued Fraction</t>
  </si>
  <si>
    <t>Sun, Coordinate_Systems</t>
  </si>
  <si>
    <t>calcCOE_RV</t>
  </si>
  <si>
    <t>Sub calcCOE_RV()</t>
  </si>
  <si>
    <t>2022-12-03, 23:28:30</t>
  </si>
  <si>
    <t>rPeri</t>
  </si>
  <si>
    <t>rQ</t>
  </si>
  <si>
    <t>Perifocal Coordinates</t>
  </si>
  <si>
    <t>https://phys.libretexts.org/Bookshelves/Astronomy__Cosmology/Celestial_Mechanics_(Tatum)/09%3A_The_Two_Body_Problem_in_Two_Dimensions/9.08%3A_Orbital_Elements_and_Velocity_Vector</t>
  </si>
  <si>
    <t>https://galileoandeinstein.phys.virginia.edu/7010/CM_14_Math_for_Orbits.html</t>
  </si>
  <si>
    <t>https://aa.quae.nl/en/reken/hemelpositie.html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</si>
</sst>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0"/>
    <numFmt numFmtId="165" formatCode="#,##0.0"/>
    <numFmt numFmtId="166" formatCode="#,##0.0000000000000"/>
    <numFmt numFmtId="167" formatCode="#,##0.00000"/>
    <numFmt numFmtId="168" formatCode="#,##0.000000"/>
    <numFmt numFmtId="169" formatCode="0.0"/>
    <numFmt numFmtId="170" formatCode="0.0000"/>
  </numFmts>
  <fonts count="2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56">
    <xf numFmtId="0" fontId="0" fillId="0" borderId="0" xfId="0"/>
    <xf numFmtId="0" fontId="20" fillId="0" borderId="0" xfId="1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0" borderId="0" xfId="1" applyFont="1" applyAlignment="1">
      <alignment horizontal="center" vertical="center"/>
    </xf>
    <xf numFmtId="14" fontId="21" fillId="0" borderId="0" xfId="0" applyNumberFormat="1" applyFont="1" applyAlignment="1">
      <alignment vertical="center"/>
    </xf>
    <xf numFmtId="0" fontId="22" fillId="0" borderId="12" xfId="0" applyFont="1" applyBorder="1" applyAlignment="1">
      <alignment horizontal="center" vertical="center"/>
    </xf>
    <xf numFmtId="4" fontId="21" fillId="0" borderId="0" xfId="0" applyNumberFormat="1" applyFont="1" applyAlignment="1">
      <alignment vertical="center"/>
    </xf>
    <xf numFmtId="0" fontId="21" fillId="2" borderId="0" xfId="0" applyFont="1" applyFill="1" applyAlignment="1">
      <alignment vertical="center"/>
    </xf>
    <xf numFmtId="0" fontId="22" fillId="0" borderId="9" xfId="0" applyFont="1" applyBorder="1" applyAlignment="1">
      <alignment horizontal="centerContinuous" vertical="center"/>
    </xf>
    <xf numFmtId="0" fontId="21" fillId="0" borderId="10" xfId="0" applyFont="1" applyBorder="1" applyAlignment="1">
      <alignment horizontal="centerContinuous" vertical="center"/>
    </xf>
    <xf numFmtId="0" fontId="21" fillId="0" borderId="11" xfId="0" applyFont="1" applyBorder="1" applyAlignment="1">
      <alignment horizontal="centerContinuous" vertical="center"/>
    </xf>
    <xf numFmtId="0" fontId="22" fillId="0" borderId="14" xfId="0" applyFont="1" applyBorder="1" applyAlignment="1">
      <alignment horizontal="centerContinuous" vertical="center"/>
    </xf>
    <xf numFmtId="0" fontId="21" fillId="0" borderId="12" xfId="0" applyFont="1" applyBorder="1" applyAlignment="1">
      <alignment horizontal="centerContinuous" vertical="center"/>
    </xf>
    <xf numFmtId="0" fontId="21" fillId="0" borderId="15" xfId="0" applyFont="1" applyBorder="1" applyAlignment="1">
      <alignment horizontal="centerContinuous" vertical="center"/>
    </xf>
    <xf numFmtId="0" fontId="22" fillId="0" borderId="16" xfId="0" applyFont="1" applyBorder="1" applyAlignment="1">
      <alignment horizontal="centerContinuous" vertical="center"/>
    </xf>
    <xf numFmtId="0" fontId="21" fillId="0" borderId="13" xfId="0" applyFont="1" applyBorder="1" applyAlignment="1">
      <alignment horizontal="centerContinuous" vertical="center"/>
    </xf>
    <xf numFmtId="0" fontId="21" fillId="0" borderId="17" xfId="0" applyFont="1" applyBorder="1" applyAlignment="1">
      <alignment horizontal="centerContinuous" vertical="center"/>
    </xf>
    <xf numFmtId="0" fontId="21" fillId="0" borderId="6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2" fillId="0" borderId="1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0" fontId="21" fillId="0" borderId="9" xfId="0" applyFont="1" applyBorder="1" applyAlignment="1">
      <alignment vertical="center"/>
    </xf>
    <xf numFmtId="0" fontId="21" fillId="0" borderId="10" xfId="0" applyFont="1" applyBorder="1" applyAlignment="1">
      <alignment vertical="center"/>
    </xf>
    <xf numFmtId="0" fontId="21" fillId="0" borderId="11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2" borderId="7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164" fontId="21" fillId="0" borderId="2" xfId="0" applyNumberFormat="1" applyFont="1" applyBorder="1" applyAlignment="1">
      <alignment vertical="center"/>
    </xf>
    <xf numFmtId="0" fontId="21" fillId="0" borderId="0" xfId="0" quotePrefix="1" applyFont="1" applyAlignment="1">
      <alignment vertical="center"/>
    </xf>
    <xf numFmtId="0" fontId="21" fillId="0" borderId="6" xfId="0" applyFont="1" applyBorder="1" applyAlignment="1">
      <alignment horizontal="centerContinuous" vertical="center"/>
    </xf>
    <xf numFmtId="0" fontId="21" fillId="0" borderId="7" xfId="0" applyFont="1" applyBorder="1" applyAlignment="1">
      <alignment horizontal="centerContinuous" vertical="center"/>
    </xf>
    <xf numFmtId="0" fontId="21" fillId="0" borderId="18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9" xfId="0" applyFont="1" applyBorder="1" applyAlignment="1">
      <alignment horizontal="centerContinuous" vertical="center"/>
    </xf>
    <xf numFmtId="0" fontId="21" fillId="3" borderId="0" xfId="0" applyFont="1" applyFill="1" applyAlignment="1">
      <alignment vertical="center"/>
    </xf>
    <xf numFmtId="165" fontId="21" fillId="0" borderId="0" xfId="0" applyNumberFormat="1" applyFont="1" applyAlignment="1">
      <alignment vertical="center"/>
    </xf>
    <xf numFmtId="0" fontId="25" fillId="0" borderId="0" xfId="0" applyFont="1" applyAlignment="1">
      <alignment vertical="center"/>
    </xf>
    <xf numFmtId="4" fontId="21" fillId="2" borderId="2" xfId="0" applyNumberFormat="1" applyFont="1" applyFill="1" applyBorder="1" applyAlignment="1">
      <alignment vertical="center"/>
    </xf>
    <xf numFmtId="0" fontId="22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20" fillId="0" borderId="0" xfId="1" applyFont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21" fillId="4" borderId="0" xfId="0" applyFont="1" applyFill="1" applyAlignment="1">
      <alignment vertical="center"/>
    </xf>
    <xf numFmtId="166" fontId="21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vertical="center"/>
    </xf>
    <xf numFmtId="167" fontId="21" fillId="0" borderId="2" xfId="0" applyNumberFormat="1" applyFont="1" applyBorder="1" applyAlignment="1">
      <alignment vertical="center"/>
    </xf>
    <xf numFmtId="164" fontId="21" fillId="0" borderId="0" xfId="0" applyNumberFormat="1" applyFont="1" applyAlignment="1">
      <alignment vertical="center"/>
    </xf>
    <xf numFmtId="168" fontId="21" fillId="0" borderId="2" xfId="0" applyNumberFormat="1" applyFont="1" applyBorder="1" applyAlignment="1">
      <alignment vertical="center"/>
    </xf>
    <xf numFmtId="0" fontId="21" fillId="0" borderId="9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49" fontId="21" fillId="2" borderId="2" xfId="0" applyNumberFormat="1" applyFont="1" applyFill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4" fontId="21" fillId="0" borderId="19" xfId="0" applyNumberFormat="1" applyFont="1" applyBorder="1" applyAlignment="1">
      <alignment horizontal="center" vertical="center"/>
    </xf>
    <xf numFmtId="164" fontId="21" fillId="2" borderId="2" xfId="0" applyNumberFormat="1" applyFont="1" applyFill="1" applyBorder="1" applyAlignment="1">
      <alignment horizontal="center" vertical="center"/>
    </xf>
    <xf numFmtId="0" fontId="19" fillId="0" borderId="0" xfId="1" applyAlignment="1">
      <alignment vertical="center"/>
    </xf>
    <xf numFmtId="169" fontId="21" fillId="0" borderId="7" xfId="0" applyNumberFormat="1" applyFont="1" applyBorder="1" applyAlignment="1">
      <alignment horizontal="right" vertical="center"/>
    </xf>
    <xf numFmtId="164" fontId="21" fillId="0" borderId="2" xfId="0" applyNumberFormat="1" applyFont="1" applyBorder="1" applyAlignment="1">
      <alignment horizontal="right" vertical="center"/>
    </xf>
    <xf numFmtId="49" fontId="21" fillId="0" borderId="2" xfId="0" applyNumberFormat="1" applyFont="1" applyBorder="1" applyAlignment="1">
      <alignment horizontal="right" vertical="center"/>
    </xf>
    <xf numFmtId="0" fontId="21" fillId="0" borderId="19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2" xfId="0" applyFont="1" applyBorder="1" applyAlignment="1">
      <alignment horizontal="right"/>
    </xf>
    <xf numFmtId="0" fontId="21" fillId="0" borderId="20" xfId="0" applyFont="1" applyBorder="1" applyAlignment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168" fontId="21" fillId="0" borderId="0" xfId="0" applyNumberFormat="1" applyFont="1" applyAlignment="1">
      <alignment vertical="center"/>
    </xf>
    <xf numFmtId="170" fontId="21" fillId="0" borderId="2" xfId="0" applyNumberFormat="1" applyFont="1" applyBorder="1" applyAlignment="1">
      <alignment vertical="center"/>
    </xf>
    <xf numFmtId="2" fontId="21" fillId="0" borderId="2" xfId="0" applyNumberFormat="1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49" fontId="21" fillId="2" borderId="13" xfId="0" applyNumberFormat="1" applyFont="1" applyFill="1" applyBorder="1" applyAlignment="1">
      <alignment horizontal="center" vertical="center"/>
    </xf>
    <xf numFmtId="0" fontId="21" fillId="0" borderId="0" xfId="0" quotePrefix="1" applyFont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3" xfId="0" applyFont="1" applyBorder="1" applyAlignment="1">
      <alignment vertical="center"/>
    </xf>
    <xf numFmtId="0" fontId="21" fillId="2" borderId="22" xfId="0" applyFont="1" applyFill="1" applyBorder="1" applyAlignment="1">
      <alignment horizontal="center" vertical="center"/>
    </xf>
    <xf numFmtId="0" fontId="21" fillId="0" borderId="16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49" fontId="21" fillId="0" borderId="7" xfId="0" applyNumberFormat="1" applyFont="1" applyBorder="1" applyAlignment="1">
      <alignment horizontal="center" vertical="center"/>
    </xf>
    <xf numFmtId="0" fontId="21" fillId="0" borderId="24" xfId="0" applyFont="1" applyBorder="1" applyAlignment="1">
      <alignment vertical="center"/>
    </xf>
    <xf numFmtId="0" fontId="21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5" borderId="0" xfId="0" applyFont="1" applyFill="1" applyAlignment="1">
      <alignment vertical="center"/>
    </xf>
    <xf numFmtId="49" fontId="21" fillId="2" borderId="7" xfId="0" applyNumberFormat="1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165" fontId="21" fillId="0" borderId="7" xfId="0" applyNumberFormat="1" applyFont="1" applyBorder="1" applyAlignment="1">
      <alignment vertical="center"/>
    </xf>
    <xf numFmtId="0" fontId="21" fillId="2" borderId="2" xfId="0" applyFont="1" applyFill="1" applyBorder="1" applyAlignment="1">
      <alignment horizontal="center" vertical="center"/>
    </xf>
    <xf numFmtId="165" fontId="21" fillId="0" borderId="0" xfId="0" applyNumberFormat="1" applyFont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22" fillId="0" borderId="1" xfId="0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21" fillId="0" borderId="26" xfId="0" applyFont="1" applyBorder="1" applyAlignment="1">
      <alignment vertical="center"/>
    </xf>
    <xf numFmtId="0" fontId="18" fillId="0" borderId="26" xfId="0" applyFont="1" applyBorder="1" applyAlignment="1">
      <alignment horizontal="center" vertical="center"/>
    </xf>
    <xf numFmtId="0" fontId="21" fillId="0" borderId="25" xfId="0" applyFont="1" applyBorder="1" applyAlignment="1">
      <alignment vertical="center"/>
    </xf>
    <xf numFmtId="0" fontId="18" fillId="0" borderId="24" xfId="0" applyFont="1" applyBorder="1" applyAlignment="1">
      <alignment horizontal="center" vertical="center"/>
    </xf>
    <xf numFmtId="0" fontId="18" fillId="0" borderId="26" xfId="0" applyFont="1" applyBorder="1" applyAlignment="1">
      <alignment vertical="center"/>
    </xf>
    <xf numFmtId="0" fontId="18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26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49" fontId="7" fillId="2" borderId="1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17" fillId="0" borderId="24" xfId="0" applyFont="1" applyBorder="1" applyAlignment="1">
      <alignment vertical="center"/>
    </xf>
    <xf numFmtId="0" fontId="17" fillId="0" borderId="26" xfId="0" applyFont="1" applyBorder="1" applyAlignment="1">
      <alignment vertical="center"/>
    </xf>
    <xf numFmtId="0" fontId="13" fillId="0" borderId="4" xfId="0" quotePrefix="1" applyFont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2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7" xfId="0" applyFont="1" applyBorder="1" applyAlignment="1">
      <alignment horizontal="centerContinuous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19050</xdr:colOff>
          <xdr:row>5</xdr:row>
          <xdr:rowOff>47625</xdr:rowOff>
        </xdr:from>
        <xdr:ext cx="1490662" cy="223837"/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0" bIns="22860" anchor="ctr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General WB Configure__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5</xdr:row>
          <xdr:rowOff>0</xdr:rowOff>
        </xdr:from>
        <xdr:ext cx="2085975" cy="223837"/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0" bIns="22860" anchor="ctr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1) Refresh Navigation Hyperlinks__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6</xdr:row>
          <xdr:rowOff>28575</xdr:rowOff>
        </xdr:from>
        <xdr:to>
          <xdr:col>7</xdr:col>
          <xdr:colOff>295275</xdr:colOff>
          <xdr:row>7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Calc. Orbit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4</xdr:row>
          <xdr:rowOff>28575</xdr:rowOff>
        </xdr:from>
        <xdr:to>
          <xdr:col>7</xdr:col>
          <xdr:colOff>295275</xdr:colOff>
          <xdr:row>5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or Hide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6</xdr:row>
          <xdr:rowOff>9525</xdr:rowOff>
        </xdr:from>
        <xdr:to>
          <xdr:col>6</xdr:col>
          <xdr:colOff>1866900</xdr:colOff>
          <xdr:row>7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Calc. Parameters @ Point (PAP)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4</xdr:row>
          <xdr:rowOff>0</xdr:rowOff>
        </xdr:from>
        <xdr:to>
          <xdr:col>6</xdr:col>
          <xdr:colOff>1866900</xdr:colOff>
          <xdr:row>5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or Hide Data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5</xdr:row>
          <xdr:rowOff>95250</xdr:rowOff>
        </xdr:from>
        <xdr:to>
          <xdr:col>6</xdr:col>
          <xdr:colOff>2000250</xdr:colOff>
          <xdr:row>7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Calc. Ground Track (GT)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</xdr:row>
          <xdr:rowOff>85725</xdr:rowOff>
        </xdr:from>
        <xdr:to>
          <xdr:col>6</xdr:col>
          <xdr:colOff>2000250</xdr:colOff>
          <xdr:row>5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or Hide Data GT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314325</xdr:colOff>
      <xdr:row>10</xdr:row>
      <xdr:rowOff>71437</xdr:rowOff>
    </xdr:from>
    <xdr:to>
      <xdr:col>19</xdr:col>
      <xdr:colOff>181634</xdr:colOff>
      <xdr:row>35</xdr:row>
      <xdr:rowOff>143466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20325" y="1738312"/>
          <a:ext cx="4725059" cy="423921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5</xdr:row>
          <xdr:rowOff>95250</xdr:rowOff>
        </xdr:from>
        <xdr:to>
          <xdr:col>6</xdr:col>
          <xdr:colOff>2000250</xdr:colOff>
          <xdr:row>7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Calculate: User Options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</xdr:row>
          <xdr:rowOff>85725</xdr:rowOff>
        </xdr:from>
        <xdr:to>
          <xdr:col>6</xdr:col>
          <xdr:colOff>2000250</xdr:colOff>
          <xdr:row>5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or Hide Data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1266825</xdr:colOff>
          <xdr:row>5</xdr:row>
          <xdr:rowOff>95250</xdr:rowOff>
        </xdr:from>
        <xdr:to>
          <xdr:col>6</xdr:col>
          <xdr:colOff>1371600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Calc. Utilities: User Options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1266825</xdr:colOff>
          <xdr:row>3</xdr:row>
          <xdr:rowOff>85725</xdr:rowOff>
        </xdr:from>
        <xdr:to>
          <xdr:col>6</xdr:col>
          <xdr:colOff>1371600</xdr:colOff>
          <xdr:row>5</xdr:row>
          <xdr:rowOff>28575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or Hide Utility Options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20</xdr:row>
      <xdr:rowOff>83344</xdr:rowOff>
    </xdr:from>
    <xdr:to>
      <xdr:col>21</xdr:col>
      <xdr:colOff>272348</xdr:colOff>
      <xdr:row>45</xdr:row>
      <xdr:rowOff>119289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68188" y="3417094"/>
          <a:ext cx="6344535" cy="1619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247650</xdr:colOff>
          <xdr:row>2</xdr:row>
          <xdr:rowOff>85725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or Hide 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247650</xdr:colOff>
          <xdr:row>4</xdr:row>
          <xdr:rowOff>76200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8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Calc. Mission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38100</xdr:rowOff>
        </xdr:from>
        <xdr:to>
          <xdr:col>7</xdr:col>
          <xdr:colOff>152400</xdr:colOff>
          <xdr:row>5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Calc. Planetary Ephemeris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2</xdr:row>
          <xdr:rowOff>28575</xdr:rowOff>
        </xdr:from>
        <xdr:to>
          <xdr:col>7</xdr:col>
          <xdr:colOff>152400</xdr:colOff>
          <xdr:row>3</xdr:row>
          <xdr:rowOff>133350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or Hide Ephemeris Models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5</xdr:row>
          <xdr:rowOff>19050</xdr:rowOff>
        </xdr:from>
        <xdr:to>
          <xdr:col>2</xdr:col>
          <xdr:colOff>1047750</xdr:colOff>
          <xdr:row>6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Constants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847725</xdr:colOff>
          <xdr:row>4</xdr:row>
          <xdr:rowOff>161925</xdr:rowOff>
        </xdr:from>
        <xdr:to>
          <xdr:col>3</xdr:col>
          <xdr:colOff>2333625</xdr:colOff>
          <xdr:row>6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Manage Macros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uttonList"/>
    </sheetNames>
    <definedNames>
      <definedName name="a_genWB_Config"/>
      <definedName name="calcGT"/>
      <definedName name="calcMissonPlan"/>
      <definedName name="calcOrb"/>
      <definedName name="calcPAP"/>
      <definedName name="calcPEph"/>
      <definedName name="calcPP"/>
      <definedName name="calcUtils"/>
      <definedName name="lwsTOC"/>
      <definedName name="mMacros"/>
      <definedName name="updateConSummary"/>
      <definedName name="viewHideEphM"/>
      <definedName name="viewHideGT1"/>
      <definedName name="viewHideMissionPlan"/>
      <definedName name="viewHideODB1"/>
      <definedName name="viewHidePAP1"/>
      <definedName name="viewHidePP"/>
      <definedName name="viewHideUtil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ssd.jpl.nasa.gov/planets/approx_pos.html" TargetMode="External"/><Relationship Id="rId1" Type="http://schemas.openxmlformats.org/officeDocument/2006/relationships/hyperlink" Target="https://ssd.jpl.nasa.gov/planets/approx_pos.html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01C59-4EF2-4D0C-A2FF-409295395980}">
  <sheetPr codeName="Sheet2"/>
  <dimension ref="A1:C35"/>
  <sheetViews>
    <sheetView zoomScale="80" zoomScaleNormal="80" workbookViewId="0"/>
  </sheetViews>
  <sheetFormatPr defaultRowHeight="12.75" x14ac:dyDescent="0.25"/>
  <cols>
    <col min="1" max="1" width="6.7109375" style="3" customWidth="1"/>
    <col min="2" max="2" width="14.7109375" style="3" customWidth="1"/>
    <col min="3" max="3" width="50.7109375" style="3" customWidth="1"/>
    <col min="4" max="16384" width="9.140625" style="3"/>
  </cols>
  <sheetData>
    <row r="1" spans="1:3" x14ac:dyDescent="0.25">
      <c r="A1" s="2" t="s">
        <v>1</v>
      </c>
      <c r="B1" s="1" t="s">
        <v>0</v>
      </c>
    </row>
    <row r="2" spans="1:3" x14ac:dyDescent="0.25">
      <c r="A2" s="2" t="s">
        <v>2</v>
      </c>
      <c r="B2" s="2" t="s">
        <v>4</v>
      </c>
    </row>
    <row r="3" spans="1:3" x14ac:dyDescent="0.25">
      <c r="A3" s="2" t="s">
        <v>3</v>
      </c>
      <c r="B3" s="1" t="str">
        <f>HYPERLINK("..\Maple\OrbitalMech\SpreadsheetFiles\OrbitTools(jb1).xlsm","Orbital Tools")</f>
        <v>Orbital Tools</v>
      </c>
      <c r="C3" s="3" t="s">
        <v>14</v>
      </c>
    </row>
    <row r="4" spans="1:3" x14ac:dyDescent="0.25">
      <c r="A4" s="2"/>
      <c r="B4" s="1"/>
    </row>
    <row r="5" spans="1:3" x14ac:dyDescent="0.25">
      <c r="A5" s="2"/>
      <c r="B5" s="2" t="s">
        <v>895</v>
      </c>
    </row>
    <row r="6" spans="1:3" x14ac:dyDescent="0.25">
      <c r="A6" s="2"/>
      <c r="B6" s="2"/>
    </row>
    <row r="7" spans="1:3" x14ac:dyDescent="0.25">
      <c r="A7" s="2"/>
      <c r="B7" s="2"/>
    </row>
    <row r="8" spans="1:3" x14ac:dyDescent="0.25">
      <c r="A8" s="2"/>
      <c r="B8" s="2" t="s">
        <v>896</v>
      </c>
    </row>
    <row r="9" spans="1:3" x14ac:dyDescent="0.25">
      <c r="A9" s="2"/>
      <c r="B9" s="55" t="s">
        <v>917</v>
      </c>
    </row>
    <row r="10" spans="1:3" ht="15" x14ac:dyDescent="0.25">
      <c r="A10" s="4">
        <v>1</v>
      </c>
      <c r="B10" s="74" t="str">
        <f>HYPERLINK("#B15", "Change Log")</f>
        <v>Change Log</v>
      </c>
      <c r="C10" s="53"/>
    </row>
    <row r="11" spans="1:3" ht="15" x14ac:dyDescent="0.25">
      <c r="A11" s="4">
        <v>2</v>
      </c>
      <c r="B11" s="74" t="str">
        <f>HYPERLINK("#B22", "Operation Instructions")</f>
        <v>Operation Instructions</v>
      </c>
    </row>
    <row r="12" spans="1:3" ht="15" x14ac:dyDescent="0.25">
      <c r="A12" s="4">
        <v>3</v>
      </c>
      <c r="B12" s="74" t="str">
        <f>HYPERLINK("#B28", "Excel Special Setup")</f>
        <v>Excel Special Setup</v>
      </c>
    </row>
    <row r="13" spans="1:3" ht="15" x14ac:dyDescent="0.25">
      <c r="A13" s="152">
        <v>4</v>
      </c>
      <c r="B13" s="74" t="str">
        <f>HYPERLINK("#B34", "References")</f>
        <v>References</v>
      </c>
    </row>
    <row r="15" spans="1:3" x14ac:dyDescent="0.25">
      <c r="A15" s="3" t="s">
        <v>8</v>
      </c>
      <c r="B15" s="37" t="s">
        <v>919</v>
      </c>
    </row>
    <row r="16" spans="1:3" x14ac:dyDescent="0.25">
      <c r="A16" s="4">
        <v>1.1100000000000001</v>
      </c>
      <c r="B16" s="7">
        <v>44887</v>
      </c>
      <c r="C16" s="134" t="s">
        <v>1520</v>
      </c>
    </row>
    <row r="17" spans="1:3" x14ac:dyDescent="0.25">
      <c r="A17" s="4">
        <v>1.1200000000000001</v>
      </c>
      <c r="B17" s="7">
        <v>44825</v>
      </c>
      <c r="C17" s="3" t="s">
        <v>874</v>
      </c>
    </row>
    <row r="18" spans="1:3" x14ac:dyDescent="0.25">
      <c r="A18" s="4">
        <v>1.1299999999999999</v>
      </c>
      <c r="B18" s="7">
        <v>44800</v>
      </c>
      <c r="C18" s="3" t="s">
        <v>921</v>
      </c>
    </row>
    <row r="19" spans="1:3" x14ac:dyDescent="0.25">
      <c r="A19" s="4">
        <v>1.1399999999999999</v>
      </c>
      <c r="C19" s="3" t="s">
        <v>13</v>
      </c>
    </row>
    <row r="20" spans="1:3" x14ac:dyDescent="0.25">
      <c r="A20" s="4">
        <v>1.1499999999999999</v>
      </c>
    </row>
    <row r="21" spans="1:3" x14ac:dyDescent="0.25">
      <c r="A21" s="4">
        <v>1.1599999999999999</v>
      </c>
    </row>
    <row r="22" spans="1:3" x14ac:dyDescent="0.25">
      <c r="A22" s="4">
        <v>2</v>
      </c>
      <c r="B22" s="37" t="s">
        <v>916</v>
      </c>
    </row>
    <row r="23" spans="1:3" x14ac:dyDescent="0.25">
      <c r="A23" s="4">
        <v>2.11</v>
      </c>
      <c r="C23" s="3" t="s">
        <v>923</v>
      </c>
    </row>
    <row r="24" spans="1:3" x14ac:dyDescent="0.25">
      <c r="A24" s="4">
        <v>2.12</v>
      </c>
      <c r="C24" s="3" t="s">
        <v>922</v>
      </c>
    </row>
    <row r="25" spans="1:3" x14ac:dyDescent="0.25">
      <c r="A25" s="4">
        <v>2.13</v>
      </c>
      <c r="C25" s="3" t="s">
        <v>924</v>
      </c>
    </row>
    <row r="26" spans="1:3" x14ac:dyDescent="0.25">
      <c r="A26" s="4">
        <v>2.14</v>
      </c>
    </row>
    <row r="27" spans="1:3" x14ac:dyDescent="0.25">
      <c r="A27" s="4">
        <v>2.15</v>
      </c>
    </row>
    <row r="28" spans="1:3" x14ac:dyDescent="0.25">
      <c r="A28" s="4">
        <v>3</v>
      </c>
      <c r="B28" s="37" t="s">
        <v>915</v>
      </c>
    </row>
    <row r="29" spans="1:3" x14ac:dyDescent="0.25">
      <c r="A29" s="4">
        <v>3.11</v>
      </c>
      <c r="C29" s="3" t="s">
        <v>920</v>
      </c>
    </row>
    <row r="30" spans="1:3" x14ac:dyDescent="0.25">
      <c r="A30" s="4">
        <v>3.12</v>
      </c>
      <c r="C30" s="3" t="s">
        <v>918</v>
      </c>
    </row>
    <row r="31" spans="1:3" x14ac:dyDescent="0.25">
      <c r="A31" s="4">
        <v>3.13</v>
      </c>
      <c r="C31" s="3" t="s">
        <v>1046</v>
      </c>
    </row>
    <row r="32" spans="1:3" x14ac:dyDescent="0.25">
      <c r="A32" s="4">
        <v>3.14</v>
      </c>
      <c r="C32" s="3" t="s">
        <v>1132</v>
      </c>
    </row>
    <row r="33" spans="1:3" x14ac:dyDescent="0.25">
      <c r="A33" s="4">
        <v>3.15</v>
      </c>
      <c r="C33" s="3" t="s">
        <v>1131</v>
      </c>
    </row>
    <row r="34" spans="1:3" x14ac:dyDescent="0.25">
      <c r="A34" s="4">
        <v>4</v>
      </c>
      <c r="B34" s="37" t="s">
        <v>1521</v>
      </c>
    </row>
    <row r="35" spans="1:3" x14ac:dyDescent="0.25">
      <c r="A35" s="4">
        <v>4.0999999999999996</v>
      </c>
      <c r="C35" s="136" t="s">
        <v>1522</v>
      </c>
    </row>
  </sheetData>
  <hyperlinks>
    <hyperlink ref="B1" location="WS_Navigation!B2" tooltip="go to navigation sheet" display="Navigate to Worksheet TOC (table of contents)" xr:uid="{ACAE261C-C5AA-494B-8E1D-7784AF225107}"/>
  </hyperlink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1]!a_genWB_Config">
                <anchor moveWithCells="1">
                  <from>
                    <xdr:col>1</xdr:col>
                    <xdr:colOff>19050</xdr:colOff>
                    <xdr:row>5</xdr:row>
                    <xdr:rowOff>47625</xdr:rowOff>
                  </from>
                  <to>
                    <xdr:col>2</xdr:col>
                    <xdr:colOff>533400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210B-D58B-4B5D-B112-753A0F781968}">
  <sheetPr codeName="Sheet3"/>
  <dimension ref="A1:C1000"/>
  <sheetViews>
    <sheetView zoomScale="80" zoomScaleNormal="80" workbookViewId="0">
      <selection activeCell="B2" sqref="B2"/>
    </sheetView>
  </sheetViews>
  <sheetFormatPr defaultRowHeight="12.75" x14ac:dyDescent="0.25"/>
  <cols>
    <col min="1" max="1" width="6.7109375" style="3" customWidth="1"/>
    <col min="2" max="2" width="30.7109375" style="3" customWidth="1"/>
    <col min="3" max="3" width="60.7109375" style="3" customWidth="1"/>
    <col min="4" max="16384" width="9.140625" style="3"/>
  </cols>
  <sheetData>
    <row r="1" spans="1:3" x14ac:dyDescent="0.25">
      <c r="A1" s="3" t="s">
        <v>1</v>
      </c>
      <c r="B1" s="2" t="s">
        <v>5</v>
      </c>
    </row>
    <row r="2" spans="1:3" x14ac:dyDescent="0.25">
      <c r="A2" s="3" t="s">
        <v>2</v>
      </c>
      <c r="B2" s="2" t="s">
        <v>6</v>
      </c>
    </row>
    <row r="3" spans="1:3" x14ac:dyDescent="0.25">
      <c r="A3" s="3" t="s">
        <v>3</v>
      </c>
      <c r="B3" s="1" t="str">
        <f>HYPERLINK("..\Maple\OrbitalMech\SpreadsheetFiles\OrbitTools(jb1).xlsm","Orbital Tools")</f>
        <v>Orbital Tools</v>
      </c>
      <c r="C3" s="3" t="s">
        <v>14</v>
      </c>
    </row>
    <row r="4" spans="1:3" x14ac:dyDescent="0.25">
      <c r="B4" s="2"/>
    </row>
    <row r="5" spans="1:3" x14ac:dyDescent="0.25">
      <c r="B5" s="2" t="s">
        <v>7</v>
      </c>
    </row>
    <row r="6" spans="1:3" x14ac:dyDescent="0.25">
      <c r="B6" s="2"/>
    </row>
    <row r="7" spans="1:3" x14ac:dyDescent="0.25">
      <c r="B7" s="2"/>
    </row>
    <row r="8" spans="1:3" x14ac:dyDescent="0.25">
      <c r="A8" s="4" t="s">
        <v>8</v>
      </c>
      <c r="B8" s="5" t="s">
        <v>9</v>
      </c>
      <c r="C8" s="5" t="s">
        <v>10</v>
      </c>
    </row>
    <row r="9" spans="1:3" x14ac:dyDescent="0.25">
      <c r="A9" s="4">
        <v>1</v>
      </c>
      <c r="B9" s="6" t="s">
        <v>11</v>
      </c>
      <c r="C9" s="135" t="s">
        <v>4</v>
      </c>
    </row>
    <row r="10" spans="1:3" x14ac:dyDescent="0.25">
      <c r="A10" s="4">
        <v>2</v>
      </c>
      <c r="B10" s="6" t="s">
        <v>12</v>
      </c>
      <c r="C10" s="135" t="s">
        <v>6</v>
      </c>
    </row>
    <row r="11" spans="1:3" x14ac:dyDescent="0.25">
      <c r="A11" s="4">
        <v>3</v>
      </c>
      <c r="B11" s="6" t="s">
        <v>52</v>
      </c>
      <c r="C11" s="135" t="s">
        <v>54</v>
      </c>
    </row>
    <row r="12" spans="1:3" x14ac:dyDescent="0.25">
      <c r="A12" s="4">
        <v>4</v>
      </c>
      <c r="B12" s="6" t="s">
        <v>133</v>
      </c>
      <c r="C12" s="135" t="s">
        <v>925</v>
      </c>
    </row>
    <row r="13" spans="1:3" x14ac:dyDescent="0.25">
      <c r="A13" s="4">
        <v>5</v>
      </c>
      <c r="B13" s="6" t="s">
        <v>141</v>
      </c>
      <c r="C13" s="135" t="s">
        <v>926</v>
      </c>
    </row>
    <row r="14" spans="1:3" x14ac:dyDescent="0.25">
      <c r="A14" s="4">
        <v>6</v>
      </c>
      <c r="B14" s="6" t="s">
        <v>888</v>
      </c>
      <c r="C14" s="135" t="s">
        <v>911</v>
      </c>
    </row>
    <row r="15" spans="1:3" x14ac:dyDescent="0.25">
      <c r="A15" s="4">
        <v>7</v>
      </c>
      <c r="B15" s="6" t="s">
        <v>998</v>
      </c>
      <c r="C15" s="135" t="s">
        <v>997</v>
      </c>
    </row>
    <row r="16" spans="1:3" x14ac:dyDescent="0.25">
      <c r="A16" s="4">
        <v>8</v>
      </c>
      <c r="B16" s="6" t="s">
        <v>999</v>
      </c>
      <c r="C16" s="135" t="s">
        <v>1004</v>
      </c>
    </row>
    <row r="17" spans="1:3" x14ac:dyDescent="0.25">
      <c r="A17" s="4">
        <v>9</v>
      </c>
      <c r="B17" s="6" t="s">
        <v>1380</v>
      </c>
      <c r="C17" s="135" t="s">
        <v>1379</v>
      </c>
    </row>
    <row r="18" spans="1:3" x14ac:dyDescent="0.25">
      <c r="A18" s="4">
        <v>10</v>
      </c>
      <c r="B18" s="6" t="s">
        <v>1206</v>
      </c>
      <c r="C18" s="135" t="s">
        <v>1205</v>
      </c>
    </row>
    <row r="19" spans="1:3" x14ac:dyDescent="0.25">
      <c r="A19" s="4">
        <v>11</v>
      </c>
      <c r="B19" s="6" t="s">
        <v>996</v>
      </c>
      <c r="C19" s="135" t="s">
        <v>909</v>
      </c>
    </row>
    <row r="20" spans="1:3" x14ac:dyDescent="0.25">
      <c r="A20" s="4">
        <v>12</v>
      </c>
      <c r="B20" s="6" t="s">
        <v>53</v>
      </c>
      <c r="C20" s="135" t="s">
        <v>55</v>
      </c>
    </row>
    <row r="21" spans="1:3" x14ac:dyDescent="0.25">
      <c r="A21" s="4">
        <v>13</v>
      </c>
      <c r="B21" s="6" t="s">
        <v>134</v>
      </c>
      <c r="C21" s="135" t="s">
        <v>132</v>
      </c>
    </row>
    <row r="22" spans="1:3" x14ac:dyDescent="0.25">
      <c r="A22" s="4">
        <v>14</v>
      </c>
      <c r="B22" s="6" t="s">
        <v>167</v>
      </c>
      <c r="C22" s="135" t="s">
        <v>166</v>
      </c>
    </row>
    <row r="23" spans="1:3" x14ac:dyDescent="0.25">
      <c r="A23" s="4"/>
      <c r="B23" s="4"/>
      <c r="C23" s="135"/>
    </row>
    <row r="24" spans="1:3" x14ac:dyDescent="0.25">
      <c r="A24" s="4"/>
      <c r="B24" s="4"/>
      <c r="C24" s="135"/>
    </row>
    <row r="25" spans="1:3" x14ac:dyDescent="0.25">
      <c r="A25" s="4"/>
      <c r="B25" s="4"/>
      <c r="C25" s="135"/>
    </row>
    <row r="26" spans="1:3" x14ac:dyDescent="0.25">
      <c r="A26" s="4"/>
      <c r="B26" s="4"/>
      <c r="C26" s="135"/>
    </row>
    <row r="27" spans="1:3" x14ac:dyDescent="0.25">
      <c r="A27" s="4"/>
      <c r="B27" s="4"/>
      <c r="C27" s="135"/>
    </row>
    <row r="28" spans="1:3" x14ac:dyDescent="0.25">
      <c r="A28" s="4"/>
      <c r="B28" s="4"/>
      <c r="C28" s="135"/>
    </row>
    <row r="29" spans="1:3" x14ac:dyDescent="0.25">
      <c r="A29" s="4"/>
      <c r="B29" s="4"/>
      <c r="C29" s="135"/>
    </row>
    <row r="30" spans="1:3" x14ac:dyDescent="0.25">
      <c r="A30" s="4"/>
      <c r="B30" s="4"/>
      <c r="C30" s="135"/>
    </row>
    <row r="31" spans="1:3" x14ac:dyDescent="0.25">
      <c r="A31" s="4"/>
      <c r="B31" s="4"/>
      <c r="C31" s="135"/>
    </row>
    <row r="32" spans="1:3" x14ac:dyDescent="0.25">
      <c r="A32" s="4"/>
      <c r="B32" s="4"/>
    </row>
    <row r="33" spans="1:2" x14ac:dyDescent="0.25">
      <c r="A33" s="4"/>
      <c r="B33" s="4"/>
    </row>
    <row r="34" spans="1:2" x14ac:dyDescent="0.25">
      <c r="A34" s="4"/>
      <c r="B34" s="4"/>
    </row>
    <row r="35" spans="1:2" x14ac:dyDescent="0.25">
      <c r="A35" s="4"/>
      <c r="B35" s="4"/>
    </row>
    <row r="36" spans="1:2" x14ac:dyDescent="0.25">
      <c r="A36" s="4"/>
      <c r="B36" s="4"/>
    </row>
    <row r="37" spans="1:2" x14ac:dyDescent="0.25">
      <c r="A37" s="4"/>
      <c r="B37" s="4"/>
    </row>
    <row r="38" spans="1:2" x14ac:dyDescent="0.25">
      <c r="A38" s="4"/>
      <c r="B38" s="4"/>
    </row>
    <row r="39" spans="1:2" x14ac:dyDescent="0.25">
      <c r="A39" s="4"/>
      <c r="B39" s="4"/>
    </row>
    <row r="40" spans="1:2" x14ac:dyDescent="0.25">
      <c r="A40" s="4"/>
      <c r="B40" s="4"/>
    </row>
    <row r="41" spans="1:2" x14ac:dyDescent="0.25">
      <c r="A41" s="4"/>
      <c r="B41" s="4"/>
    </row>
    <row r="42" spans="1:2" x14ac:dyDescent="0.25">
      <c r="A42" s="4"/>
      <c r="B42" s="4"/>
    </row>
    <row r="43" spans="1:2" x14ac:dyDescent="0.25">
      <c r="A43" s="4"/>
      <c r="B43" s="4"/>
    </row>
    <row r="44" spans="1:2" x14ac:dyDescent="0.25">
      <c r="A44" s="4"/>
      <c r="B44" s="4"/>
    </row>
    <row r="45" spans="1:2" x14ac:dyDescent="0.25">
      <c r="A45" s="4"/>
      <c r="B45" s="4"/>
    </row>
    <row r="46" spans="1:2" x14ac:dyDescent="0.25">
      <c r="A46" s="4"/>
      <c r="B46" s="4"/>
    </row>
    <row r="47" spans="1:2" x14ac:dyDescent="0.25">
      <c r="A47" s="4"/>
      <c r="B47" s="4"/>
    </row>
    <row r="48" spans="1:2" x14ac:dyDescent="0.25">
      <c r="A48" s="4"/>
      <c r="B48" s="4"/>
    </row>
    <row r="49" spans="1:2" x14ac:dyDescent="0.25">
      <c r="A49" s="4"/>
      <c r="B49" s="4"/>
    </row>
    <row r="50" spans="1:2" x14ac:dyDescent="0.25">
      <c r="A50" s="4"/>
      <c r="B50" s="4"/>
    </row>
    <row r="51" spans="1:2" x14ac:dyDescent="0.25">
      <c r="A51" s="4"/>
      <c r="B51" s="4"/>
    </row>
    <row r="52" spans="1:2" x14ac:dyDescent="0.25">
      <c r="A52" s="4"/>
      <c r="B52" s="4"/>
    </row>
    <row r="53" spans="1:2" x14ac:dyDescent="0.25">
      <c r="A53" s="4"/>
      <c r="B53" s="4"/>
    </row>
    <row r="54" spans="1:2" x14ac:dyDescent="0.25">
      <c r="A54" s="4"/>
      <c r="B54" s="4"/>
    </row>
    <row r="55" spans="1:2" x14ac:dyDescent="0.25">
      <c r="A55" s="4"/>
      <c r="B55" s="4"/>
    </row>
    <row r="56" spans="1:2" x14ac:dyDescent="0.25">
      <c r="A56" s="4"/>
      <c r="B56" s="4"/>
    </row>
    <row r="57" spans="1:2" x14ac:dyDescent="0.25">
      <c r="A57" s="4"/>
      <c r="B57" s="4"/>
    </row>
    <row r="58" spans="1:2" x14ac:dyDescent="0.25">
      <c r="A58" s="4"/>
      <c r="B58" s="4"/>
    </row>
    <row r="59" spans="1:2" x14ac:dyDescent="0.25">
      <c r="A59" s="4"/>
      <c r="B59" s="4"/>
    </row>
    <row r="60" spans="1:2" x14ac:dyDescent="0.25">
      <c r="A60" s="4"/>
      <c r="B60" s="4"/>
    </row>
    <row r="61" spans="1:2" x14ac:dyDescent="0.25">
      <c r="A61" s="4"/>
      <c r="B61" s="4"/>
    </row>
    <row r="62" spans="1:2" x14ac:dyDescent="0.25">
      <c r="A62" s="4"/>
      <c r="B62" s="4"/>
    </row>
    <row r="63" spans="1:2" x14ac:dyDescent="0.25">
      <c r="A63" s="4"/>
      <c r="B63" s="4"/>
    </row>
    <row r="64" spans="1:2" x14ac:dyDescent="0.25">
      <c r="A64" s="4"/>
      <c r="B64" s="4"/>
    </row>
    <row r="65" spans="1:2" x14ac:dyDescent="0.25">
      <c r="A65" s="4"/>
      <c r="B65" s="4"/>
    </row>
    <row r="66" spans="1:2" x14ac:dyDescent="0.25">
      <c r="A66" s="4"/>
      <c r="B66" s="4"/>
    </row>
    <row r="67" spans="1:2" x14ac:dyDescent="0.25">
      <c r="A67" s="4"/>
      <c r="B67" s="4"/>
    </row>
    <row r="68" spans="1:2" x14ac:dyDescent="0.25">
      <c r="A68" s="4"/>
      <c r="B68" s="4"/>
    </row>
    <row r="69" spans="1:2" x14ac:dyDescent="0.25">
      <c r="A69" s="4"/>
      <c r="B69" s="4"/>
    </row>
    <row r="70" spans="1:2" x14ac:dyDescent="0.25">
      <c r="A70" s="4"/>
      <c r="B70" s="4"/>
    </row>
    <row r="71" spans="1:2" x14ac:dyDescent="0.25">
      <c r="A71" s="4"/>
      <c r="B71" s="4"/>
    </row>
    <row r="72" spans="1:2" x14ac:dyDescent="0.25">
      <c r="A72" s="4"/>
      <c r="B72" s="4"/>
    </row>
    <row r="73" spans="1:2" x14ac:dyDescent="0.25">
      <c r="A73" s="4"/>
      <c r="B73" s="4"/>
    </row>
    <row r="74" spans="1:2" x14ac:dyDescent="0.25">
      <c r="A74" s="4"/>
      <c r="B74" s="4"/>
    </row>
    <row r="75" spans="1:2" x14ac:dyDescent="0.25">
      <c r="A75" s="4"/>
      <c r="B75" s="4"/>
    </row>
    <row r="76" spans="1:2" x14ac:dyDescent="0.25">
      <c r="A76" s="4"/>
      <c r="B76" s="4"/>
    </row>
    <row r="77" spans="1:2" x14ac:dyDescent="0.25">
      <c r="A77" s="4"/>
      <c r="B77" s="4"/>
    </row>
    <row r="78" spans="1:2" x14ac:dyDescent="0.25">
      <c r="A78" s="4"/>
      <c r="B78" s="4"/>
    </row>
    <row r="79" spans="1:2" x14ac:dyDescent="0.25">
      <c r="A79" s="4"/>
      <c r="B79" s="4"/>
    </row>
    <row r="80" spans="1:2" x14ac:dyDescent="0.25">
      <c r="A80" s="4"/>
      <c r="B80" s="4"/>
    </row>
    <row r="81" spans="1:2" x14ac:dyDescent="0.25">
      <c r="A81" s="4"/>
      <c r="B81" s="4"/>
    </row>
    <row r="82" spans="1:2" x14ac:dyDescent="0.25">
      <c r="A82" s="4"/>
      <c r="B82" s="4"/>
    </row>
    <row r="83" spans="1:2" x14ac:dyDescent="0.25">
      <c r="A83" s="4"/>
      <c r="B83" s="4"/>
    </row>
    <row r="84" spans="1:2" x14ac:dyDescent="0.25">
      <c r="A84" s="4"/>
      <c r="B84" s="4"/>
    </row>
    <row r="85" spans="1:2" x14ac:dyDescent="0.25">
      <c r="A85" s="4"/>
      <c r="B85" s="4"/>
    </row>
    <row r="86" spans="1:2" x14ac:dyDescent="0.25">
      <c r="A86" s="4"/>
      <c r="B86" s="4"/>
    </row>
    <row r="87" spans="1:2" x14ac:dyDescent="0.25">
      <c r="A87" s="4"/>
      <c r="B87" s="4"/>
    </row>
    <row r="88" spans="1:2" x14ac:dyDescent="0.25">
      <c r="A88" s="4"/>
      <c r="B88" s="4"/>
    </row>
    <row r="89" spans="1:2" x14ac:dyDescent="0.25">
      <c r="A89" s="4"/>
      <c r="B89" s="4"/>
    </row>
    <row r="90" spans="1:2" x14ac:dyDescent="0.25">
      <c r="A90" s="4"/>
      <c r="B90" s="4"/>
    </row>
    <row r="91" spans="1:2" x14ac:dyDescent="0.25">
      <c r="A91" s="4"/>
      <c r="B91" s="4"/>
    </row>
    <row r="92" spans="1:2" x14ac:dyDescent="0.25">
      <c r="A92" s="4"/>
      <c r="B92" s="4"/>
    </row>
    <row r="93" spans="1:2" x14ac:dyDescent="0.25">
      <c r="A93" s="4"/>
      <c r="B93" s="4"/>
    </row>
    <row r="94" spans="1:2" x14ac:dyDescent="0.25">
      <c r="A94" s="4"/>
      <c r="B94" s="4"/>
    </row>
    <row r="95" spans="1:2" x14ac:dyDescent="0.25">
      <c r="A95" s="4"/>
      <c r="B95" s="4"/>
    </row>
    <row r="96" spans="1:2" x14ac:dyDescent="0.25">
      <c r="A96" s="4"/>
      <c r="B96" s="4"/>
    </row>
    <row r="97" spans="1:2" x14ac:dyDescent="0.25">
      <c r="A97" s="4"/>
      <c r="B97" s="4"/>
    </row>
    <row r="98" spans="1:2" x14ac:dyDescent="0.25">
      <c r="A98" s="4"/>
      <c r="B98" s="4"/>
    </row>
    <row r="99" spans="1:2" x14ac:dyDescent="0.25">
      <c r="A99" s="4"/>
      <c r="B99" s="4"/>
    </row>
    <row r="100" spans="1:2" x14ac:dyDescent="0.25">
      <c r="A100" s="4"/>
      <c r="B100" s="4"/>
    </row>
    <row r="101" spans="1:2" x14ac:dyDescent="0.25">
      <c r="A101" s="4"/>
      <c r="B101" s="4"/>
    </row>
    <row r="102" spans="1:2" x14ac:dyDescent="0.25">
      <c r="A102" s="4"/>
      <c r="B102" s="4"/>
    </row>
    <row r="103" spans="1:2" x14ac:dyDescent="0.25">
      <c r="A103" s="4"/>
      <c r="B103" s="4"/>
    </row>
    <row r="104" spans="1:2" x14ac:dyDescent="0.25">
      <c r="A104" s="4"/>
      <c r="B104" s="4"/>
    </row>
    <row r="105" spans="1:2" x14ac:dyDescent="0.25">
      <c r="A105" s="4"/>
      <c r="B105" s="4"/>
    </row>
    <row r="106" spans="1:2" x14ac:dyDescent="0.25">
      <c r="A106" s="4"/>
      <c r="B106" s="4"/>
    </row>
    <row r="107" spans="1:2" x14ac:dyDescent="0.25">
      <c r="A107" s="4"/>
      <c r="B107" s="4"/>
    </row>
    <row r="108" spans="1:2" x14ac:dyDescent="0.25">
      <c r="A108" s="4"/>
      <c r="B108" s="4"/>
    </row>
    <row r="109" spans="1:2" x14ac:dyDescent="0.25">
      <c r="A109" s="4"/>
      <c r="B109" s="4"/>
    </row>
    <row r="110" spans="1:2" x14ac:dyDescent="0.25">
      <c r="A110" s="4"/>
      <c r="B110" s="4"/>
    </row>
    <row r="111" spans="1:2" x14ac:dyDescent="0.25">
      <c r="A111" s="4"/>
      <c r="B111" s="4"/>
    </row>
    <row r="112" spans="1:2" x14ac:dyDescent="0.25">
      <c r="A112" s="4"/>
      <c r="B112" s="4"/>
    </row>
    <row r="113" spans="1:2" x14ac:dyDescent="0.25">
      <c r="A113" s="4"/>
      <c r="B113" s="4"/>
    </row>
    <row r="114" spans="1:2" x14ac:dyDescent="0.25">
      <c r="A114" s="4"/>
      <c r="B114" s="4"/>
    </row>
    <row r="115" spans="1:2" x14ac:dyDescent="0.25">
      <c r="A115" s="4"/>
      <c r="B115" s="4"/>
    </row>
    <row r="116" spans="1:2" x14ac:dyDescent="0.25">
      <c r="A116" s="4"/>
      <c r="B116" s="4"/>
    </row>
    <row r="117" spans="1:2" x14ac:dyDescent="0.25">
      <c r="A117" s="4"/>
      <c r="B117" s="4"/>
    </row>
    <row r="118" spans="1:2" x14ac:dyDescent="0.25">
      <c r="A118" s="4"/>
      <c r="B118" s="4"/>
    </row>
    <row r="119" spans="1:2" x14ac:dyDescent="0.25">
      <c r="A119" s="4"/>
      <c r="B119" s="4"/>
    </row>
    <row r="120" spans="1:2" x14ac:dyDescent="0.25">
      <c r="A120" s="4"/>
      <c r="B120" s="4"/>
    </row>
    <row r="121" spans="1:2" x14ac:dyDescent="0.25">
      <c r="A121" s="4"/>
      <c r="B121" s="4"/>
    </row>
    <row r="122" spans="1:2" x14ac:dyDescent="0.25">
      <c r="A122" s="4"/>
      <c r="B122" s="4"/>
    </row>
    <row r="123" spans="1:2" x14ac:dyDescent="0.25">
      <c r="A123" s="4"/>
      <c r="B123" s="4"/>
    </row>
    <row r="124" spans="1:2" x14ac:dyDescent="0.25">
      <c r="A124" s="4"/>
      <c r="B124" s="4"/>
    </row>
    <row r="125" spans="1:2" x14ac:dyDescent="0.25">
      <c r="A125" s="4"/>
      <c r="B125" s="4"/>
    </row>
    <row r="126" spans="1:2" x14ac:dyDescent="0.25">
      <c r="A126" s="4"/>
      <c r="B126" s="4"/>
    </row>
    <row r="127" spans="1:2" x14ac:dyDescent="0.25">
      <c r="A127" s="4"/>
      <c r="B127" s="4"/>
    </row>
    <row r="128" spans="1:2" x14ac:dyDescent="0.25">
      <c r="A128" s="4"/>
      <c r="B128" s="4"/>
    </row>
    <row r="129" spans="1:2" x14ac:dyDescent="0.25">
      <c r="A129" s="4"/>
      <c r="B129" s="4"/>
    </row>
    <row r="130" spans="1:2" x14ac:dyDescent="0.25">
      <c r="A130" s="4"/>
      <c r="B130" s="4"/>
    </row>
    <row r="131" spans="1:2" x14ac:dyDescent="0.25">
      <c r="A131" s="4"/>
      <c r="B131" s="4"/>
    </row>
    <row r="132" spans="1:2" x14ac:dyDescent="0.25">
      <c r="A132" s="4"/>
      <c r="B132" s="4"/>
    </row>
    <row r="133" spans="1:2" x14ac:dyDescent="0.25">
      <c r="A133" s="4"/>
      <c r="B133" s="4"/>
    </row>
    <row r="134" spans="1:2" x14ac:dyDescent="0.25">
      <c r="A134" s="4"/>
      <c r="B134" s="4"/>
    </row>
    <row r="135" spans="1:2" x14ac:dyDescent="0.25">
      <c r="A135" s="4"/>
      <c r="B135" s="4"/>
    </row>
    <row r="136" spans="1:2" x14ac:dyDescent="0.25">
      <c r="A136" s="4"/>
      <c r="B136" s="4"/>
    </row>
    <row r="137" spans="1:2" x14ac:dyDescent="0.25">
      <c r="A137" s="4"/>
      <c r="B137" s="4"/>
    </row>
    <row r="138" spans="1:2" x14ac:dyDescent="0.25">
      <c r="A138" s="4"/>
      <c r="B138" s="4"/>
    </row>
    <row r="139" spans="1:2" x14ac:dyDescent="0.25">
      <c r="A139" s="4"/>
      <c r="B139" s="4"/>
    </row>
    <row r="140" spans="1:2" x14ac:dyDescent="0.25">
      <c r="A140" s="4"/>
      <c r="B140" s="4"/>
    </row>
    <row r="141" spans="1:2" x14ac:dyDescent="0.25">
      <c r="A141" s="4"/>
      <c r="B141" s="4"/>
    </row>
    <row r="142" spans="1:2" x14ac:dyDescent="0.25">
      <c r="A142" s="4"/>
      <c r="B142" s="4"/>
    </row>
    <row r="143" spans="1:2" x14ac:dyDescent="0.25">
      <c r="A143" s="4"/>
      <c r="B143" s="4"/>
    </row>
    <row r="144" spans="1:2" x14ac:dyDescent="0.25">
      <c r="A144" s="4"/>
      <c r="B144" s="4"/>
    </row>
    <row r="145" spans="1:2" x14ac:dyDescent="0.25">
      <c r="A145" s="4"/>
      <c r="B145" s="4"/>
    </row>
    <row r="146" spans="1:2" x14ac:dyDescent="0.25">
      <c r="A146" s="4"/>
      <c r="B146" s="4"/>
    </row>
    <row r="147" spans="1:2" x14ac:dyDescent="0.25">
      <c r="A147" s="4"/>
      <c r="B147" s="4"/>
    </row>
    <row r="148" spans="1:2" x14ac:dyDescent="0.25">
      <c r="A148" s="4"/>
      <c r="B148" s="4"/>
    </row>
    <row r="149" spans="1:2" x14ac:dyDescent="0.25">
      <c r="A149" s="4"/>
      <c r="B149" s="4"/>
    </row>
    <row r="150" spans="1:2" x14ac:dyDescent="0.25">
      <c r="A150" s="4"/>
      <c r="B150" s="4"/>
    </row>
    <row r="151" spans="1:2" x14ac:dyDescent="0.25">
      <c r="A151" s="4"/>
      <c r="B151" s="4"/>
    </row>
    <row r="152" spans="1:2" x14ac:dyDescent="0.25">
      <c r="A152" s="4"/>
      <c r="B152" s="4"/>
    </row>
    <row r="153" spans="1:2" x14ac:dyDescent="0.25">
      <c r="A153" s="4"/>
      <c r="B153" s="4"/>
    </row>
    <row r="154" spans="1:2" x14ac:dyDescent="0.25">
      <c r="A154" s="4"/>
      <c r="B154" s="4"/>
    </row>
    <row r="155" spans="1:2" x14ac:dyDescent="0.25">
      <c r="A155" s="4"/>
      <c r="B155" s="4"/>
    </row>
    <row r="156" spans="1:2" x14ac:dyDescent="0.25">
      <c r="A156" s="4"/>
      <c r="B156" s="4"/>
    </row>
    <row r="157" spans="1:2" x14ac:dyDescent="0.25">
      <c r="A157" s="4"/>
      <c r="B157" s="4"/>
    </row>
    <row r="158" spans="1:2" x14ac:dyDescent="0.25">
      <c r="A158" s="4"/>
      <c r="B158" s="4"/>
    </row>
    <row r="159" spans="1:2" x14ac:dyDescent="0.25">
      <c r="A159" s="4"/>
      <c r="B159" s="4"/>
    </row>
    <row r="160" spans="1:2" x14ac:dyDescent="0.25">
      <c r="A160" s="4"/>
      <c r="B160" s="4"/>
    </row>
    <row r="161" spans="1:2" x14ac:dyDescent="0.25">
      <c r="A161" s="4"/>
      <c r="B161" s="4"/>
    </row>
    <row r="162" spans="1:2" x14ac:dyDescent="0.25">
      <c r="A162" s="4"/>
      <c r="B162" s="4"/>
    </row>
    <row r="163" spans="1:2" x14ac:dyDescent="0.25">
      <c r="A163" s="4"/>
      <c r="B163" s="4"/>
    </row>
    <row r="164" spans="1:2" x14ac:dyDescent="0.25">
      <c r="A164" s="4"/>
      <c r="B164" s="4"/>
    </row>
    <row r="165" spans="1:2" x14ac:dyDescent="0.25">
      <c r="A165" s="4"/>
      <c r="B165" s="4"/>
    </row>
    <row r="166" spans="1:2" x14ac:dyDescent="0.25">
      <c r="A166" s="4"/>
      <c r="B166" s="4"/>
    </row>
    <row r="167" spans="1:2" x14ac:dyDescent="0.25">
      <c r="A167" s="4"/>
      <c r="B167" s="4"/>
    </row>
    <row r="168" spans="1:2" x14ac:dyDescent="0.25">
      <c r="A168" s="4"/>
      <c r="B168" s="4"/>
    </row>
    <row r="169" spans="1:2" x14ac:dyDescent="0.25">
      <c r="A169" s="4"/>
      <c r="B169" s="4"/>
    </row>
    <row r="170" spans="1:2" x14ac:dyDescent="0.25">
      <c r="A170" s="4"/>
      <c r="B170" s="4"/>
    </row>
    <row r="171" spans="1:2" x14ac:dyDescent="0.25">
      <c r="A171" s="4"/>
      <c r="B171" s="4"/>
    </row>
    <row r="172" spans="1:2" x14ac:dyDescent="0.25">
      <c r="A172" s="4"/>
      <c r="B172" s="4"/>
    </row>
    <row r="173" spans="1:2" x14ac:dyDescent="0.25">
      <c r="A173" s="4"/>
      <c r="B173" s="4"/>
    </row>
    <row r="174" spans="1:2" x14ac:dyDescent="0.25">
      <c r="A174" s="4"/>
      <c r="B174" s="4"/>
    </row>
    <row r="175" spans="1:2" x14ac:dyDescent="0.25">
      <c r="A175" s="4"/>
      <c r="B175" s="4"/>
    </row>
    <row r="176" spans="1:2" x14ac:dyDescent="0.25">
      <c r="A176" s="4"/>
      <c r="B176" s="4"/>
    </row>
    <row r="177" spans="1:2" x14ac:dyDescent="0.25">
      <c r="A177" s="4"/>
      <c r="B177" s="4"/>
    </row>
    <row r="178" spans="1:2" x14ac:dyDescent="0.25">
      <c r="A178" s="4"/>
      <c r="B178" s="4"/>
    </row>
    <row r="179" spans="1:2" x14ac:dyDescent="0.25">
      <c r="A179" s="4"/>
      <c r="B179" s="4"/>
    </row>
    <row r="180" spans="1:2" x14ac:dyDescent="0.25">
      <c r="A180" s="4"/>
      <c r="B180" s="4"/>
    </row>
    <row r="181" spans="1:2" x14ac:dyDescent="0.25">
      <c r="A181" s="4"/>
      <c r="B181" s="4"/>
    </row>
    <row r="182" spans="1:2" x14ac:dyDescent="0.25">
      <c r="A182" s="4"/>
      <c r="B182" s="4"/>
    </row>
    <row r="183" spans="1:2" x14ac:dyDescent="0.25">
      <c r="A183" s="4"/>
      <c r="B183" s="4"/>
    </row>
    <row r="184" spans="1:2" x14ac:dyDescent="0.25">
      <c r="A184" s="4"/>
      <c r="B184" s="4"/>
    </row>
    <row r="185" spans="1:2" x14ac:dyDescent="0.25">
      <c r="A185" s="4"/>
      <c r="B185" s="4"/>
    </row>
    <row r="186" spans="1:2" x14ac:dyDescent="0.25">
      <c r="A186" s="4"/>
      <c r="B186" s="4"/>
    </row>
    <row r="187" spans="1:2" x14ac:dyDescent="0.25">
      <c r="A187" s="4"/>
      <c r="B187" s="4"/>
    </row>
    <row r="188" spans="1:2" x14ac:dyDescent="0.25">
      <c r="A188" s="4"/>
      <c r="B188" s="4"/>
    </row>
    <row r="189" spans="1:2" x14ac:dyDescent="0.25">
      <c r="A189" s="4"/>
      <c r="B189" s="4"/>
    </row>
    <row r="190" spans="1:2" x14ac:dyDescent="0.25">
      <c r="A190" s="4"/>
      <c r="B190" s="4"/>
    </row>
    <row r="191" spans="1:2" x14ac:dyDescent="0.25">
      <c r="A191" s="4"/>
      <c r="B191" s="4"/>
    </row>
    <row r="192" spans="1:2" x14ac:dyDescent="0.25">
      <c r="A192" s="4"/>
      <c r="B192" s="4"/>
    </row>
    <row r="193" spans="1:2" x14ac:dyDescent="0.25">
      <c r="A193" s="4"/>
      <c r="B193" s="4"/>
    </row>
    <row r="194" spans="1:2" x14ac:dyDescent="0.25">
      <c r="A194" s="4"/>
      <c r="B194" s="4"/>
    </row>
    <row r="195" spans="1:2" x14ac:dyDescent="0.25">
      <c r="A195" s="4"/>
      <c r="B195" s="4"/>
    </row>
    <row r="196" spans="1:2" x14ac:dyDescent="0.25">
      <c r="A196" s="4"/>
      <c r="B196" s="4"/>
    </row>
    <row r="197" spans="1:2" x14ac:dyDescent="0.25">
      <c r="A197" s="4"/>
      <c r="B197" s="4"/>
    </row>
    <row r="198" spans="1:2" x14ac:dyDescent="0.25">
      <c r="A198" s="4"/>
      <c r="B198" s="4"/>
    </row>
    <row r="199" spans="1:2" x14ac:dyDescent="0.25">
      <c r="A199" s="4"/>
      <c r="B199" s="4"/>
    </row>
    <row r="200" spans="1:2" x14ac:dyDescent="0.25">
      <c r="A200" s="4"/>
      <c r="B200" s="4"/>
    </row>
    <row r="201" spans="1:2" x14ac:dyDescent="0.25">
      <c r="A201" s="4"/>
      <c r="B201" s="4"/>
    </row>
    <row r="202" spans="1:2" x14ac:dyDescent="0.25">
      <c r="A202" s="4"/>
      <c r="B202" s="4"/>
    </row>
    <row r="203" spans="1:2" x14ac:dyDescent="0.25">
      <c r="A203" s="4"/>
      <c r="B203" s="4"/>
    </row>
    <row r="204" spans="1:2" x14ac:dyDescent="0.25">
      <c r="A204" s="4"/>
      <c r="B204" s="4"/>
    </row>
    <row r="205" spans="1:2" x14ac:dyDescent="0.25">
      <c r="A205" s="4"/>
      <c r="B205" s="4"/>
    </row>
    <row r="206" spans="1:2" x14ac:dyDescent="0.25">
      <c r="A206" s="4"/>
      <c r="B206" s="4"/>
    </row>
    <row r="207" spans="1:2" x14ac:dyDescent="0.25">
      <c r="A207" s="4"/>
      <c r="B207" s="4"/>
    </row>
    <row r="208" spans="1:2" x14ac:dyDescent="0.25">
      <c r="A208" s="4"/>
      <c r="B208" s="4"/>
    </row>
    <row r="209" spans="1:2" x14ac:dyDescent="0.25">
      <c r="A209" s="4"/>
      <c r="B209" s="4"/>
    </row>
    <row r="210" spans="1:2" x14ac:dyDescent="0.25">
      <c r="A210" s="4"/>
      <c r="B210" s="4"/>
    </row>
    <row r="211" spans="1:2" x14ac:dyDescent="0.25">
      <c r="A211" s="4"/>
      <c r="B211" s="4"/>
    </row>
    <row r="212" spans="1:2" x14ac:dyDescent="0.25">
      <c r="A212" s="4"/>
      <c r="B212" s="4"/>
    </row>
    <row r="213" spans="1:2" x14ac:dyDescent="0.25">
      <c r="A213" s="4"/>
      <c r="B213" s="4"/>
    </row>
    <row r="214" spans="1:2" x14ac:dyDescent="0.25">
      <c r="A214" s="4"/>
      <c r="B214" s="4"/>
    </row>
    <row r="215" spans="1:2" x14ac:dyDescent="0.25">
      <c r="A215" s="4"/>
      <c r="B215" s="4"/>
    </row>
    <row r="216" spans="1:2" x14ac:dyDescent="0.25">
      <c r="A216" s="4"/>
      <c r="B216" s="4"/>
    </row>
    <row r="217" spans="1:2" x14ac:dyDescent="0.25">
      <c r="A217" s="4"/>
      <c r="B217" s="4"/>
    </row>
    <row r="218" spans="1:2" x14ac:dyDescent="0.25">
      <c r="A218" s="4"/>
      <c r="B218" s="4"/>
    </row>
    <row r="219" spans="1:2" x14ac:dyDescent="0.25">
      <c r="A219" s="4"/>
      <c r="B219" s="4"/>
    </row>
    <row r="220" spans="1:2" x14ac:dyDescent="0.25">
      <c r="A220" s="4"/>
      <c r="B220" s="4"/>
    </row>
    <row r="221" spans="1:2" x14ac:dyDescent="0.25">
      <c r="A221" s="4"/>
      <c r="B221" s="4"/>
    </row>
    <row r="222" spans="1:2" x14ac:dyDescent="0.25">
      <c r="A222" s="4"/>
      <c r="B222" s="4"/>
    </row>
    <row r="223" spans="1:2" x14ac:dyDescent="0.25">
      <c r="A223" s="4"/>
      <c r="B223" s="4"/>
    </row>
    <row r="224" spans="1:2" x14ac:dyDescent="0.25">
      <c r="A224" s="4"/>
      <c r="B224" s="4"/>
    </row>
    <row r="225" spans="1:2" x14ac:dyDescent="0.25">
      <c r="A225" s="4"/>
      <c r="B225" s="4"/>
    </row>
    <row r="226" spans="1:2" x14ac:dyDescent="0.25">
      <c r="A226" s="4"/>
      <c r="B226" s="4"/>
    </row>
    <row r="227" spans="1:2" x14ac:dyDescent="0.25">
      <c r="A227" s="4"/>
      <c r="B227" s="4"/>
    </row>
    <row r="228" spans="1:2" x14ac:dyDescent="0.25">
      <c r="A228" s="4"/>
      <c r="B228" s="4"/>
    </row>
    <row r="229" spans="1:2" x14ac:dyDescent="0.25">
      <c r="A229" s="4"/>
      <c r="B229" s="4"/>
    </row>
    <row r="230" spans="1:2" x14ac:dyDescent="0.25">
      <c r="A230" s="4"/>
      <c r="B230" s="4"/>
    </row>
    <row r="231" spans="1:2" x14ac:dyDescent="0.25">
      <c r="A231" s="4"/>
      <c r="B231" s="4"/>
    </row>
    <row r="232" spans="1:2" x14ac:dyDescent="0.25">
      <c r="A232" s="4"/>
      <c r="B232" s="4"/>
    </row>
    <row r="233" spans="1:2" x14ac:dyDescent="0.25">
      <c r="A233" s="4"/>
      <c r="B233" s="4"/>
    </row>
    <row r="234" spans="1:2" x14ac:dyDescent="0.25">
      <c r="A234" s="4"/>
      <c r="B234" s="4"/>
    </row>
    <row r="235" spans="1:2" x14ac:dyDescent="0.25">
      <c r="A235" s="4"/>
      <c r="B235" s="4"/>
    </row>
    <row r="236" spans="1:2" x14ac:dyDescent="0.25">
      <c r="A236" s="4"/>
      <c r="B236" s="4"/>
    </row>
    <row r="237" spans="1:2" x14ac:dyDescent="0.25">
      <c r="A237" s="4"/>
      <c r="B237" s="4"/>
    </row>
    <row r="238" spans="1:2" x14ac:dyDescent="0.25">
      <c r="A238" s="4"/>
      <c r="B238" s="4"/>
    </row>
    <row r="239" spans="1:2" x14ac:dyDescent="0.25">
      <c r="A239" s="4"/>
      <c r="B239" s="4"/>
    </row>
    <row r="240" spans="1:2" x14ac:dyDescent="0.25">
      <c r="A240" s="4"/>
      <c r="B240" s="4"/>
    </row>
    <row r="241" spans="1:2" x14ac:dyDescent="0.25">
      <c r="A241" s="4"/>
      <c r="B241" s="4"/>
    </row>
    <row r="242" spans="1:2" x14ac:dyDescent="0.25">
      <c r="A242" s="4"/>
      <c r="B242" s="4"/>
    </row>
    <row r="243" spans="1:2" x14ac:dyDescent="0.25">
      <c r="A243" s="4"/>
      <c r="B243" s="4"/>
    </row>
    <row r="244" spans="1:2" x14ac:dyDescent="0.25">
      <c r="A244" s="4"/>
      <c r="B244" s="4"/>
    </row>
    <row r="245" spans="1:2" x14ac:dyDescent="0.25">
      <c r="A245" s="4"/>
      <c r="B245" s="4"/>
    </row>
    <row r="246" spans="1:2" x14ac:dyDescent="0.25">
      <c r="A246" s="4"/>
      <c r="B246" s="4"/>
    </row>
    <row r="247" spans="1:2" x14ac:dyDescent="0.25">
      <c r="A247" s="4"/>
      <c r="B247" s="4"/>
    </row>
    <row r="248" spans="1:2" x14ac:dyDescent="0.25">
      <c r="A248" s="4"/>
      <c r="B248" s="4"/>
    </row>
    <row r="249" spans="1:2" x14ac:dyDescent="0.25">
      <c r="A249" s="4"/>
      <c r="B249" s="4"/>
    </row>
    <row r="250" spans="1:2" x14ac:dyDescent="0.25">
      <c r="A250" s="4"/>
      <c r="B250" s="4"/>
    </row>
    <row r="251" spans="1:2" x14ac:dyDescent="0.25">
      <c r="A251" s="4"/>
      <c r="B251" s="4"/>
    </row>
    <row r="252" spans="1:2" x14ac:dyDescent="0.25">
      <c r="A252" s="4"/>
      <c r="B252" s="4"/>
    </row>
    <row r="253" spans="1:2" x14ac:dyDescent="0.25">
      <c r="A253" s="4"/>
      <c r="B253" s="4"/>
    </row>
    <row r="254" spans="1:2" x14ac:dyDescent="0.25">
      <c r="A254" s="4"/>
      <c r="B254" s="4"/>
    </row>
    <row r="255" spans="1:2" x14ac:dyDescent="0.25">
      <c r="A255" s="4"/>
      <c r="B255" s="4"/>
    </row>
    <row r="256" spans="1:2" x14ac:dyDescent="0.25">
      <c r="A256" s="4"/>
      <c r="B256" s="4"/>
    </row>
    <row r="257" spans="1:2" x14ac:dyDescent="0.25">
      <c r="A257" s="4"/>
      <c r="B257" s="4"/>
    </row>
    <row r="258" spans="1:2" x14ac:dyDescent="0.25">
      <c r="A258" s="4"/>
      <c r="B258" s="4"/>
    </row>
    <row r="259" spans="1:2" x14ac:dyDescent="0.25">
      <c r="A259" s="4"/>
      <c r="B259" s="4"/>
    </row>
    <row r="260" spans="1:2" x14ac:dyDescent="0.25">
      <c r="A260" s="4"/>
      <c r="B260" s="4"/>
    </row>
    <row r="261" spans="1:2" x14ac:dyDescent="0.25">
      <c r="A261" s="4"/>
      <c r="B261" s="4"/>
    </row>
    <row r="262" spans="1:2" x14ac:dyDescent="0.25">
      <c r="A262" s="4"/>
      <c r="B262" s="4"/>
    </row>
    <row r="263" spans="1:2" x14ac:dyDescent="0.25">
      <c r="A263" s="4"/>
      <c r="B263" s="4"/>
    </row>
    <row r="264" spans="1:2" x14ac:dyDescent="0.25">
      <c r="A264" s="4"/>
      <c r="B264" s="4"/>
    </row>
    <row r="265" spans="1:2" x14ac:dyDescent="0.25">
      <c r="A265" s="4"/>
      <c r="B265" s="4"/>
    </row>
    <row r="266" spans="1:2" x14ac:dyDescent="0.25">
      <c r="A266" s="4"/>
      <c r="B266" s="4"/>
    </row>
    <row r="267" spans="1:2" x14ac:dyDescent="0.25">
      <c r="A267" s="4"/>
      <c r="B267" s="4"/>
    </row>
    <row r="268" spans="1:2" x14ac:dyDescent="0.25">
      <c r="A268" s="4"/>
      <c r="B268" s="4"/>
    </row>
    <row r="269" spans="1:2" x14ac:dyDescent="0.25">
      <c r="A269" s="4"/>
      <c r="B269" s="4"/>
    </row>
    <row r="270" spans="1:2" x14ac:dyDescent="0.25">
      <c r="A270" s="4"/>
      <c r="B270" s="4"/>
    </row>
    <row r="271" spans="1:2" x14ac:dyDescent="0.25">
      <c r="A271" s="4"/>
      <c r="B271" s="4"/>
    </row>
    <row r="272" spans="1:2" x14ac:dyDescent="0.25">
      <c r="A272" s="4"/>
      <c r="B272" s="4"/>
    </row>
    <row r="273" spans="1:2" x14ac:dyDescent="0.25">
      <c r="A273" s="4"/>
      <c r="B273" s="4"/>
    </row>
    <row r="274" spans="1:2" x14ac:dyDescent="0.25">
      <c r="A274" s="4"/>
      <c r="B274" s="4"/>
    </row>
    <row r="275" spans="1:2" x14ac:dyDescent="0.25">
      <c r="A275" s="4"/>
      <c r="B275" s="4"/>
    </row>
    <row r="276" spans="1:2" x14ac:dyDescent="0.25">
      <c r="A276" s="4"/>
      <c r="B276" s="4"/>
    </row>
    <row r="277" spans="1:2" x14ac:dyDescent="0.25">
      <c r="A277" s="4"/>
      <c r="B277" s="4"/>
    </row>
    <row r="278" spans="1:2" x14ac:dyDescent="0.25">
      <c r="A278" s="4"/>
      <c r="B278" s="4"/>
    </row>
    <row r="279" spans="1:2" x14ac:dyDescent="0.25">
      <c r="A279" s="4"/>
      <c r="B279" s="4"/>
    </row>
    <row r="280" spans="1:2" x14ac:dyDescent="0.25">
      <c r="A280" s="4"/>
      <c r="B280" s="4"/>
    </row>
    <row r="281" spans="1:2" x14ac:dyDescent="0.25">
      <c r="A281" s="4"/>
      <c r="B281" s="4"/>
    </row>
    <row r="282" spans="1:2" x14ac:dyDescent="0.25">
      <c r="A282" s="4"/>
      <c r="B282" s="4"/>
    </row>
    <row r="283" spans="1:2" x14ac:dyDescent="0.25">
      <c r="A283" s="4"/>
      <c r="B283" s="4"/>
    </row>
    <row r="284" spans="1:2" x14ac:dyDescent="0.25">
      <c r="A284" s="4"/>
      <c r="B284" s="4"/>
    </row>
    <row r="285" spans="1:2" x14ac:dyDescent="0.25">
      <c r="A285" s="4"/>
      <c r="B285" s="4"/>
    </row>
    <row r="286" spans="1:2" x14ac:dyDescent="0.25">
      <c r="A286" s="4"/>
      <c r="B286" s="4"/>
    </row>
    <row r="287" spans="1:2" x14ac:dyDescent="0.25">
      <c r="A287" s="4"/>
      <c r="B287" s="4"/>
    </row>
    <row r="288" spans="1:2" x14ac:dyDescent="0.25">
      <c r="A288" s="4"/>
      <c r="B288" s="4"/>
    </row>
    <row r="289" spans="1:2" x14ac:dyDescent="0.25">
      <c r="A289" s="4"/>
      <c r="B289" s="4"/>
    </row>
    <row r="290" spans="1:2" x14ac:dyDescent="0.25">
      <c r="A290" s="4"/>
      <c r="B290" s="4"/>
    </row>
    <row r="291" spans="1:2" x14ac:dyDescent="0.25">
      <c r="A291" s="4"/>
      <c r="B291" s="4"/>
    </row>
    <row r="292" spans="1:2" x14ac:dyDescent="0.25">
      <c r="A292" s="4"/>
      <c r="B292" s="4"/>
    </row>
    <row r="293" spans="1:2" x14ac:dyDescent="0.25">
      <c r="A293" s="4"/>
      <c r="B293" s="4"/>
    </row>
    <row r="294" spans="1:2" x14ac:dyDescent="0.25">
      <c r="A294" s="4"/>
      <c r="B294" s="4"/>
    </row>
    <row r="295" spans="1:2" x14ac:dyDescent="0.25">
      <c r="A295" s="4"/>
      <c r="B295" s="4"/>
    </row>
    <row r="296" spans="1:2" x14ac:dyDescent="0.25">
      <c r="A296" s="4"/>
      <c r="B296" s="4"/>
    </row>
    <row r="297" spans="1:2" x14ac:dyDescent="0.25">
      <c r="A297" s="4"/>
      <c r="B297" s="4"/>
    </row>
    <row r="298" spans="1:2" x14ac:dyDescent="0.25">
      <c r="A298" s="4"/>
      <c r="B298" s="4"/>
    </row>
    <row r="299" spans="1:2" x14ac:dyDescent="0.25">
      <c r="A299" s="4"/>
      <c r="B299" s="4"/>
    </row>
    <row r="300" spans="1:2" x14ac:dyDescent="0.25">
      <c r="A300" s="4"/>
      <c r="B300" s="4"/>
    </row>
    <row r="301" spans="1:2" x14ac:dyDescent="0.25">
      <c r="A301" s="4"/>
      <c r="B301" s="4"/>
    </row>
    <row r="302" spans="1:2" x14ac:dyDescent="0.25">
      <c r="A302" s="4"/>
      <c r="B302" s="4"/>
    </row>
    <row r="303" spans="1:2" x14ac:dyDescent="0.25">
      <c r="A303" s="4"/>
      <c r="B303" s="4"/>
    </row>
    <row r="304" spans="1:2" x14ac:dyDescent="0.25">
      <c r="A304" s="4"/>
      <c r="B304" s="4"/>
    </row>
    <row r="305" spans="1:2" x14ac:dyDescent="0.25">
      <c r="A305" s="4"/>
      <c r="B305" s="4"/>
    </row>
    <row r="306" spans="1:2" x14ac:dyDescent="0.25">
      <c r="A306" s="4"/>
      <c r="B306" s="4"/>
    </row>
    <row r="307" spans="1:2" x14ac:dyDescent="0.25">
      <c r="A307" s="4"/>
      <c r="B307" s="4"/>
    </row>
    <row r="308" spans="1:2" x14ac:dyDescent="0.25">
      <c r="A308" s="4"/>
      <c r="B308" s="4"/>
    </row>
    <row r="309" spans="1:2" x14ac:dyDescent="0.25">
      <c r="A309" s="4"/>
      <c r="B309" s="4"/>
    </row>
    <row r="310" spans="1:2" x14ac:dyDescent="0.25">
      <c r="A310" s="4"/>
      <c r="B310" s="4"/>
    </row>
    <row r="311" spans="1:2" x14ac:dyDescent="0.25">
      <c r="A311" s="4"/>
      <c r="B311" s="4"/>
    </row>
    <row r="312" spans="1:2" x14ac:dyDescent="0.25">
      <c r="A312" s="4"/>
      <c r="B312" s="4"/>
    </row>
    <row r="313" spans="1:2" x14ac:dyDescent="0.25">
      <c r="A313" s="4"/>
      <c r="B313" s="4"/>
    </row>
    <row r="314" spans="1:2" x14ac:dyDescent="0.25">
      <c r="A314" s="4"/>
      <c r="B314" s="4"/>
    </row>
    <row r="315" spans="1:2" x14ac:dyDescent="0.25">
      <c r="A315" s="4"/>
      <c r="B315" s="4"/>
    </row>
    <row r="316" spans="1:2" x14ac:dyDescent="0.25">
      <c r="A316" s="4"/>
      <c r="B316" s="4"/>
    </row>
    <row r="317" spans="1:2" x14ac:dyDescent="0.25">
      <c r="A317" s="4"/>
      <c r="B317" s="4"/>
    </row>
    <row r="318" spans="1:2" x14ac:dyDescent="0.25">
      <c r="A318" s="4"/>
      <c r="B318" s="4"/>
    </row>
    <row r="319" spans="1:2" x14ac:dyDescent="0.25">
      <c r="A319" s="4"/>
      <c r="B319" s="4"/>
    </row>
    <row r="320" spans="1:2" x14ac:dyDescent="0.25">
      <c r="A320" s="4"/>
      <c r="B320" s="4"/>
    </row>
    <row r="321" spans="1:2" x14ac:dyDescent="0.25">
      <c r="A321" s="4"/>
      <c r="B321" s="4"/>
    </row>
    <row r="322" spans="1:2" x14ac:dyDescent="0.25">
      <c r="A322" s="4"/>
      <c r="B322" s="4"/>
    </row>
    <row r="323" spans="1:2" x14ac:dyDescent="0.25">
      <c r="A323" s="4"/>
      <c r="B323" s="4"/>
    </row>
    <row r="324" spans="1:2" x14ac:dyDescent="0.25">
      <c r="A324" s="4"/>
      <c r="B324" s="4"/>
    </row>
    <row r="325" spans="1:2" x14ac:dyDescent="0.25">
      <c r="A325" s="4"/>
      <c r="B325" s="4"/>
    </row>
    <row r="326" spans="1:2" x14ac:dyDescent="0.25">
      <c r="A326" s="4"/>
      <c r="B326" s="4"/>
    </row>
    <row r="327" spans="1:2" x14ac:dyDescent="0.25">
      <c r="A327" s="4"/>
      <c r="B327" s="4"/>
    </row>
    <row r="328" spans="1:2" x14ac:dyDescent="0.25">
      <c r="A328" s="4"/>
      <c r="B328" s="4"/>
    </row>
    <row r="329" spans="1:2" x14ac:dyDescent="0.25">
      <c r="A329" s="4"/>
      <c r="B329" s="4"/>
    </row>
    <row r="330" spans="1:2" x14ac:dyDescent="0.25">
      <c r="A330" s="4"/>
      <c r="B330" s="4"/>
    </row>
    <row r="331" spans="1:2" x14ac:dyDescent="0.25">
      <c r="A331" s="4"/>
      <c r="B331" s="4"/>
    </row>
    <row r="332" spans="1:2" x14ac:dyDescent="0.25">
      <c r="A332" s="4"/>
      <c r="B332" s="4"/>
    </row>
    <row r="333" spans="1:2" x14ac:dyDescent="0.25">
      <c r="A333" s="4"/>
      <c r="B333" s="4"/>
    </row>
    <row r="334" spans="1:2" x14ac:dyDescent="0.25">
      <c r="A334" s="4"/>
      <c r="B334" s="4"/>
    </row>
    <row r="335" spans="1:2" x14ac:dyDescent="0.25">
      <c r="A335" s="4"/>
      <c r="B335" s="4"/>
    </row>
    <row r="336" spans="1:2" x14ac:dyDescent="0.25">
      <c r="A336" s="4"/>
      <c r="B336" s="4"/>
    </row>
    <row r="337" spans="1:2" x14ac:dyDescent="0.25">
      <c r="A337" s="4"/>
      <c r="B337" s="4"/>
    </row>
    <row r="338" spans="1:2" x14ac:dyDescent="0.25">
      <c r="A338" s="4"/>
      <c r="B338" s="4"/>
    </row>
    <row r="339" spans="1:2" x14ac:dyDescent="0.25">
      <c r="A339" s="4"/>
      <c r="B339" s="4"/>
    </row>
    <row r="340" spans="1:2" x14ac:dyDescent="0.25">
      <c r="A340" s="4"/>
      <c r="B340" s="4"/>
    </row>
    <row r="341" spans="1:2" x14ac:dyDescent="0.25">
      <c r="A341" s="4"/>
      <c r="B341" s="4"/>
    </row>
    <row r="342" spans="1:2" x14ac:dyDescent="0.25">
      <c r="A342" s="4"/>
      <c r="B342" s="4"/>
    </row>
    <row r="343" spans="1:2" x14ac:dyDescent="0.25">
      <c r="A343" s="4"/>
      <c r="B343" s="4"/>
    </row>
    <row r="344" spans="1:2" x14ac:dyDescent="0.25">
      <c r="A344" s="4"/>
      <c r="B344" s="4"/>
    </row>
    <row r="345" spans="1:2" x14ac:dyDescent="0.25">
      <c r="A345" s="4"/>
      <c r="B345" s="4"/>
    </row>
    <row r="346" spans="1:2" x14ac:dyDescent="0.25">
      <c r="A346" s="4"/>
      <c r="B346" s="4"/>
    </row>
    <row r="347" spans="1:2" x14ac:dyDescent="0.25">
      <c r="A347" s="4"/>
      <c r="B347" s="4"/>
    </row>
    <row r="348" spans="1:2" x14ac:dyDescent="0.25">
      <c r="A348" s="4"/>
      <c r="B348" s="4"/>
    </row>
    <row r="349" spans="1:2" x14ac:dyDescent="0.25">
      <c r="A349" s="4"/>
      <c r="B349" s="4"/>
    </row>
    <row r="350" spans="1:2" x14ac:dyDescent="0.25">
      <c r="A350" s="4"/>
      <c r="B350" s="4"/>
    </row>
    <row r="351" spans="1:2" x14ac:dyDescent="0.25">
      <c r="A351" s="4"/>
      <c r="B351" s="4"/>
    </row>
    <row r="352" spans="1:2" x14ac:dyDescent="0.25">
      <c r="A352" s="4"/>
      <c r="B352" s="4"/>
    </row>
    <row r="353" spans="1:2" x14ac:dyDescent="0.25">
      <c r="A353" s="4"/>
      <c r="B353" s="4"/>
    </row>
    <row r="354" spans="1:2" x14ac:dyDescent="0.25">
      <c r="A354" s="4"/>
      <c r="B354" s="4"/>
    </row>
    <row r="355" spans="1:2" x14ac:dyDescent="0.25">
      <c r="A355" s="4"/>
      <c r="B355" s="4"/>
    </row>
    <row r="356" spans="1:2" x14ac:dyDescent="0.25">
      <c r="A356" s="4"/>
      <c r="B356" s="4"/>
    </row>
    <row r="357" spans="1:2" x14ac:dyDescent="0.25">
      <c r="A357" s="4"/>
      <c r="B357" s="4"/>
    </row>
    <row r="358" spans="1:2" x14ac:dyDescent="0.25">
      <c r="A358" s="4"/>
      <c r="B358" s="4"/>
    </row>
    <row r="359" spans="1:2" x14ac:dyDescent="0.25">
      <c r="A359" s="4"/>
      <c r="B359" s="4"/>
    </row>
    <row r="360" spans="1:2" x14ac:dyDescent="0.25">
      <c r="A360" s="4"/>
      <c r="B360" s="4"/>
    </row>
    <row r="361" spans="1:2" x14ac:dyDescent="0.25">
      <c r="A361" s="4"/>
      <c r="B361" s="4"/>
    </row>
    <row r="362" spans="1:2" x14ac:dyDescent="0.25">
      <c r="A362" s="4"/>
      <c r="B362" s="4"/>
    </row>
    <row r="363" spans="1:2" x14ac:dyDescent="0.25">
      <c r="A363" s="4"/>
      <c r="B363" s="4"/>
    </row>
    <row r="364" spans="1:2" x14ac:dyDescent="0.25">
      <c r="A364" s="4"/>
      <c r="B364" s="4"/>
    </row>
    <row r="365" spans="1:2" x14ac:dyDescent="0.25">
      <c r="A365" s="4"/>
      <c r="B365" s="4"/>
    </row>
    <row r="366" spans="1:2" x14ac:dyDescent="0.25">
      <c r="A366" s="4"/>
      <c r="B366" s="4"/>
    </row>
    <row r="367" spans="1:2" x14ac:dyDescent="0.25">
      <c r="A367" s="4"/>
      <c r="B367" s="4"/>
    </row>
    <row r="368" spans="1:2" x14ac:dyDescent="0.25">
      <c r="A368" s="4"/>
      <c r="B368" s="4"/>
    </row>
    <row r="369" spans="1:2" x14ac:dyDescent="0.25">
      <c r="A369" s="4"/>
      <c r="B369" s="4"/>
    </row>
    <row r="370" spans="1:2" x14ac:dyDescent="0.25">
      <c r="A370" s="4"/>
      <c r="B370" s="4"/>
    </row>
    <row r="371" spans="1:2" x14ac:dyDescent="0.25">
      <c r="A371" s="4"/>
      <c r="B371" s="4"/>
    </row>
    <row r="372" spans="1:2" x14ac:dyDescent="0.25">
      <c r="A372" s="4"/>
      <c r="B372" s="4"/>
    </row>
    <row r="373" spans="1:2" x14ac:dyDescent="0.25">
      <c r="A373" s="4"/>
      <c r="B373" s="4"/>
    </row>
    <row r="374" spans="1:2" x14ac:dyDescent="0.25">
      <c r="A374" s="4"/>
      <c r="B374" s="4"/>
    </row>
    <row r="375" spans="1:2" x14ac:dyDescent="0.25">
      <c r="A375" s="4"/>
      <c r="B375" s="4"/>
    </row>
    <row r="376" spans="1:2" x14ac:dyDescent="0.25">
      <c r="A376" s="4"/>
      <c r="B376" s="4"/>
    </row>
    <row r="377" spans="1:2" x14ac:dyDescent="0.25">
      <c r="A377" s="4"/>
      <c r="B377" s="4"/>
    </row>
    <row r="378" spans="1:2" x14ac:dyDescent="0.25">
      <c r="A378" s="4"/>
      <c r="B378" s="4"/>
    </row>
    <row r="379" spans="1:2" x14ac:dyDescent="0.25">
      <c r="A379" s="4"/>
      <c r="B379" s="4"/>
    </row>
    <row r="380" spans="1:2" x14ac:dyDescent="0.25">
      <c r="A380" s="4"/>
      <c r="B380" s="4"/>
    </row>
    <row r="381" spans="1:2" x14ac:dyDescent="0.25">
      <c r="A381" s="4"/>
      <c r="B381" s="4"/>
    </row>
    <row r="382" spans="1:2" x14ac:dyDescent="0.25">
      <c r="A382" s="4"/>
      <c r="B382" s="4"/>
    </row>
    <row r="383" spans="1:2" x14ac:dyDescent="0.25">
      <c r="A383" s="4"/>
      <c r="B383" s="4"/>
    </row>
    <row r="384" spans="1:2" x14ac:dyDescent="0.25">
      <c r="A384" s="4"/>
      <c r="B384" s="4"/>
    </row>
    <row r="385" spans="1:2" x14ac:dyDescent="0.25">
      <c r="A385" s="4"/>
      <c r="B385" s="4"/>
    </row>
    <row r="386" spans="1:2" x14ac:dyDescent="0.25">
      <c r="A386" s="4"/>
      <c r="B386" s="4"/>
    </row>
    <row r="387" spans="1:2" x14ac:dyDescent="0.25">
      <c r="A387" s="4"/>
      <c r="B387" s="4"/>
    </row>
    <row r="388" spans="1:2" x14ac:dyDescent="0.25">
      <c r="A388" s="4"/>
      <c r="B388" s="4"/>
    </row>
    <row r="389" spans="1:2" x14ac:dyDescent="0.25">
      <c r="A389" s="4"/>
      <c r="B389" s="4"/>
    </row>
    <row r="390" spans="1:2" x14ac:dyDescent="0.25">
      <c r="A390" s="4"/>
      <c r="B390" s="4"/>
    </row>
    <row r="391" spans="1:2" x14ac:dyDescent="0.25">
      <c r="A391" s="4"/>
      <c r="B391" s="4"/>
    </row>
    <row r="392" spans="1:2" x14ac:dyDescent="0.25">
      <c r="A392" s="4"/>
      <c r="B392" s="4"/>
    </row>
    <row r="393" spans="1:2" x14ac:dyDescent="0.25">
      <c r="A393" s="4"/>
      <c r="B393" s="4"/>
    </row>
    <row r="394" spans="1:2" x14ac:dyDescent="0.25">
      <c r="A394" s="4"/>
      <c r="B394" s="4"/>
    </row>
    <row r="395" spans="1:2" x14ac:dyDescent="0.25">
      <c r="A395" s="4"/>
      <c r="B395" s="4"/>
    </row>
    <row r="396" spans="1:2" x14ac:dyDescent="0.25">
      <c r="A396" s="4"/>
      <c r="B396" s="4"/>
    </row>
    <row r="397" spans="1:2" x14ac:dyDescent="0.25">
      <c r="A397" s="4"/>
      <c r="B397" s="4"/>
    </row>
    <row r="398" spans="1:2" x14ac:dyDescent="0.25">
      <c r="A398" s="4"/>
      <c r="B398" s="4"/>
    </row>
    <row r="399" spans="1:2" x14ac:dyDescent="0.25">
      <c r="A399" s="4"/>
      <c r="B399" s="4"/>
    </row>
    <row r="400" spans="1:2" x14ac:dyDescent="0.25">
      <c r="A400" s="4"/>
      <c r="B400" s="4"/>
    </row>
    <row r="401" spans="1:2" x14ac:dyDescent="0.25">
      <c r="A401" s="4"/>
      <c r="B401" s="4"/>
    </row>
    <row r="402" spans="1:2" x14ac:dyDescent="0.25">
      <c r="A402" s="4"/>
      <c r="B402" s="4"/>
    </row>
    <row r="403" spans="1:2" x14ac:dyDescent="0.25">
      <c r="A403" s="4"/>
      <c r="B403" s="4"/>
    </row>
    <row r="404" spans="1:2" x14ac:dyDescent="0.25">
      <c r="A404" s="4"/>
      <c r="B404" s="4"/>
    </row>
    <row r="405" spans="1:2" x14ac:dyDescent="0.25">
      <c r="A405" s="4"/>
      <c r="B405" s="4"/>
    </row>
    <row r="406" spans="1:2" x14ac:dyDescent="0.25">
      <c r="A406" s="4"/>
      <c r="B406" s="4"/>
    </row>
    <row r="407" spans="1:2" x14ac:dyDescent="0.25">
      <c r="A407" s="4"/>
      <c r="B407" s="4"/>
    </row>
    <row r="408" spans="1:2" x14ac:dyDescent="0.25">
      <c r="A408" s="4"/>
      <c r="B408" s="4"/>
    </row>
    <row r="409" spans="1:2" x14ac:dyDescent="0.25">
      <c r="A409" s="4"/>
      <c r="B409" s="4"/>
    </row>
    <row r="410" spans="1:2" x14ac:dyDescent="0.25">
      <c r="A410" s="4"/>
      <c r="B410" s="4"/>
    </row>
    <row r="411" spans="1:2" x14ac:dyDescent="0.25">
      <c r="A411" s="4"/>
      <c r="B411" s="4"/>
    </row>
    <row r="412" spans="1:2" x14ac:dyDescent="0.25">
      <c r="A412" s="4"/>
      <c r="B412" s="4"/>
    </row>
    <row r="413" spans="1:2" x14ac:dyDescent="0.25">
      <c r="A413" s="4"/>
      <c r="B413" s="4"/>
    </row>
    <row r="414" spans="1:2" x14ac:dyDescent="0.25">
      <c r="A414" s="4"/>
      <c r="B414" s="4"/>
    </row>
    <row r="415" spans="1:2" x14ac:dyDescent="0.25">
      <c r="A415" s="4"/>
      <c r="B415" s="4"/>
    </row>
    <row r="416" spans="1:2" x14ac:dyDescent="0.25">
      <c r="A416" s="4"/>
      <c r="B416" s="4"/>
    </row>
    <row r="417" spans="1:2" x14ac:dyDescent="0.25">
      <c r="A417" s="4"/>
      <c r="B417" s="4"/>
    </row>
    <row r="418" spans="1:2" x14ac:dyDescent="0.25">
      <c r="A418" s="4"/>
      <c r="B418" s="4"/>
    </row>
    <row r="419" spans="1:2" x14ac:dyDescent="0.25">
      <c r="A419" s="4"/>
      <c r="B419" s="4"/>
    </row>
    <row r="420" spans="1:2" x14ac:dyDescent="0.25">
      <c r="A420" s="4"/>
      <c r="B420" s="4"/>
    </row>
    <row r="421" spans="1:2" x14ac:dyDescent="0.25">
      <c r="A421" s="4"/>
      <c r="B421" s="4"/>
    </row>
    <row r="422" spans="1:2" x14ac:dyDescent="0.25">
      <c r="A422" s="4"/>
      <c r="B422" s="4"/>
    </row>
    <row r="423" spans="1:2" x14ac:dyDescent="0.25">
      <c r="A423" s="4"/>
      <c r="B423" s="4"/>
    </row>
    <row r="424" spans="1:2" x14ac:dyDescent="0.25">
      <c r="A424" s="4"/>
      <c r="B424" s="4"/>
    </row>
    <row r="425" spans="1:2" x14ac:dyDescent="0.25">
      <c r="A425" s="4"/>
      <c r="B425" s="4"/>
    </row>
    <row r="426" spans="1:2" x14ac:dyDescent="0.25">
      <c r="A426" s="4"/>
      <c r="B426" s="4"/>
    </row>
    <row r="427" spans="1:2" x14ac:dyDescent="0.25">
      <c r="A427" s="4"/>
      <c r="B427" s="4"/>
    </row>
    <row r="428" spans="1:2" x14ac:dyDescent="0.25">
      <c r="A428" s="4"/>
      <c r="B428" s="4"/>
    </row>
    <row r="429" spans="1:2" x14ac:dyDescent="0.25">
      <c r="A429" s="4"/>
      <c r="B429" s="4"/>
    </row>
    <row r="430" spans="1:2" x14ac:dyDescent="0.25">
      <c r="A430" s="4"/>
      <c r="B430" s="4"/>
    </row>
    <row r="431" spans="1:2" x14ac:dyDescent="0.25">
      <c r="A431" s="4"/>
      <c r="B431" s="4"/>
    </row>
    <row r="432" spans="1:2" x14ac:dyDescent="0.25">
      <c r="A432" s="4"/>
      <c r="B432" s="4"/>
    </row>
    <row r="433" spans="1:2" x14ac:dyDescent="0.25">
      <c r="A433" s="4"/>
      <c r="B433" s="4"/>
    </row>
    <row r="434" spans="1:2" x14ac:dyDescent="0.25">
      <c r="A434" s="4"/>
      <c r="B434" s="4"/>
    </row>
    <row r="435" spans="1:2" x14ac:dyDescent="0.25">
      <c r="A435" s="4"/>
      <c r="B435" s="4"/>
    </row>
    <row r="436" spans="1:2" x14ac:dyDescent="0.25">
      <c r="A436" s="4"/>
      <c r="B436" s="4"/>
    </row>
    <row r="437" spans="1:2" x14ac:dyDescent="0.25">
      <c r="A437" s="4"/>
      <c r="B437" s="4"/>
    </row>
    <row r="438" spans="1:2" x14ac:dyDescent="0.25">
      <c r="A438" s="4"/>
      <c r="B438" s="4"/>
    </row>
    <row r="439" spans="1:2" x14ac:dyDescent="0.25">
      <c r="A439" s="4"/>
      <c r="B439" s="4"/>
    </row>
    <row r="440" spans="1:2" x14ac:dyDescent="0.25">
      <c r="A440" s="4"/>
      <c r="B440" s="4"/>
    </row>
    <row r="441" spans="1:2" x14ac:dyDescent="0.25">
      <c r="A441" s="4"/>
      <c r="B441" s="4"/>
    </row>
    <row r="442" spans="1:2" x14ac:dyDescent="0.25">
      <c r="A442" s="4"/>
      <c r="B442" s="4"/>
    </row>
    <row r="443" spans="1:2" x14ac:dyDescent="0.25">
      <c r="A443" s="4"/>
      <c r="B443" s="4"/>
    </row>
    <row r="444" spans="1:2" x14ac:dyDescent="0.25">
      <c r="A444" s="4"/>
      <c r="B444" s="4"/>
    </row>
    <row r="445" spans="1:2" x14ac:dyDescent="0.25">
      <c r="A445" s="4"/>
      <c r="B445" s="4"/>
    </row>
    <row r="446" spans="1:2" x14ac:dyDescent="0.25">
      <c r="A446" s="4"/>
      <c r="B446" s="4"/>
    </row>
    <row r="447" spans="1:2" x14ac:dyDescent="0.25">
      <c r="A447" s="4"/>
      <c r="B447" s="4"/>
    </row>
    <row r="448" spans="1:2" x14ac:dyDescent="0.25">
      <c r="A448" s="4"/>
      <c r="B448" s="4"/>
    </row>
    <row r="449" spans="1:2" x14ac:dyDescent="0.25">
      <c r="A449" s="4"/>
      <c r="B449" s="4"/>
    </row>
    <row r="450" spans="1:2" x14ac:dyDescent="0.25">
      <c r="A450" s="4"/>
      <c r="B450" s="4"/>
    </row>
    <row r="451" spans="1:2" x14ac:dyDescent="0.25">
      <c r="A451" s="4"/>
      <c r="B451" s="4"/>
    </row>
    <row r="452" spans="1:2" x14ac:dyDescent="0.25">
      <c r="A452" s="4"/>
      <c r="B452" s="4"/>
    </row>
    <row r="453" spans="1:2" x14ac:dyDescent="0.25">
      <c r="A453" s="4"/>
      <c r="B453" s="4"/>
    </row>
    <row r="454" spans="1:2" x14ac:dyDescent="0.25">
      <c r="A454" s="4"/>
      <c r="B454" s="4"/>
    </row>
    <row r="455" spans="1:2" x14ac:dyDescent="0.25">
      <c r="A455" s="4"/>
      <c r="B455" s="4"/>
    </row>
    <row r="456" spans="1:2" x14ac:dyDescent="0.25">
      <c r="A456" s="4"/>
      <c r="B456" s="4"/>
    </row>
    <row r="457" spans="1:2" x14ac:dyDescent="0.25">
      <c r="A457" s="4"/>
      <c r="B457" s="4"/>
    </row>
    <row r="458" spans="1:2" x14ac:dyDescent="0.25">
      <c r="A458" s="4"/>
      <c r="B458" s="4"/>
    </row>
    <row r="459" spans="1:2" x14ac:dyDescent="0.25">
      <c r="A459" s="4"/>
      <c r="B459" s="4"/>
    </row>
    <row r="460" spans="1:2" x14ac:dyDescent="0.25">
      <c r="A460" s="4"/>
      <c r="B460" s="4"/>
    </row>
    <row r="461" spans="1:2" x14ac:dyDescent="0.25">
      <c r="A461" s="4"/>
      <c r="B461" s="4"/>
    </row>
    <row r="462" spans="1:2" x14ac:dyDescent="0.25">
      <c r="A462" s="4"/>
      <c r="B462" s="4"/>
    </row>
    <row r="463" spans="1:2" x14ac:dyDescent="0.25">
      <c r="A463" s="4"/>
      <c r="B463" s="4"/>
    </row>
    <row r="464" spans="1:2" x14ac:dyDescent="0.25">
      <c r="A464" s="4"/>
      <c r="B464" s="4"/>
    </row>
    <row r="465" spans="1:2" x14ac:dyDescent="0.25">
      <c r="A465" s="4"/>
      <c r="B465" s="4"/>
    </row>
    <row r="466" spans="1:2" x14ac:dyDescent="0.25">
      <c r="A466" s="4"/>
      <c r="B466" s="4"/>
    </row>
    <row r="467" spans="1:2" x14ac:dyDescent="0.25">
      <c r="A467" s="4"/>
      <c r="B467" s="4"/>
    </row>
    <row r="468" spans="1:2" x14ac:dyDescent="0.25">
      <c r="A468" s="4"/>
      <c r="B468" s="4"/>
    </row>
    <row r="469" spans="1:2" x14ac:dyDescent="0.25">
      <c r="A469" s="4"/>
      <c r="B469" s="4"/>
    </row>
    <row r="470" spans="1:2" x14ac:dyDescent="0.25">
      <c r="A470" s="4"/>
      <c r="B470" s="4"/>
    </row>
    <row r="471" spans="1:2" x14ac:dyDescent="0.25">
      <c r="A471" s="4"/>
      <c r="B471" s="4"/>
    </row>
    <row r="472" spans="1:2" x14ac:dyDescent="0.25">
      <c r="A472" s="4"/>
      <c r="B472" s="4"/>
    </row>
    <row r="473" spans="1:2" x14ac:dyDescent="0.25">
      <c r="A473" s="4"/>
      <c r="B473" s="4"/>
    </row>
    <row r="474" spans="1:2" x14ac:dyDescent="0.25">
      <c r="A474" s="4"/>
      <c r="B474" s="4"/>
    </row>
    <row r="475" spans="1:2" x14ac:dyDescent="0.25">
      <c r="A475" s="4"/>
      <c r="B475" s="4"/>
    </row>
    <row r="476" spans="1:2" x14ac:dyDescent="0.25">
      <c r="A476" s="4"/>
      <c r="B476" s="4"/>
    </row>
    <row r="477" spans="1:2" x14ac:dyDescent="0.25">
      <c r="A477" s="4"/>
      <c r="B477" s="4"/>
    </row>
    <row r="478" spans="1:2" x14ac:dyDescent="0.25">
      <c r="A478" s="4"/>
      <c r="B478" s="4"/>
    </row>
    <row r="479" spans="1:2" x14ac:dyDescent="0.25">
      <c r="A479" s="4"/>
      <c r="B479" s="4"/>
    </row>
    <row r="480" spans="1:2" x14ac:dyDescent="0.25">
      <c r="A480" s="4"/>
      <c r="B480" s="4"/>
    </row>
    <row r="481" spans="1:2" x14ac:dyDescent="0.25">
      <c r="A481" s="4"/>
      <c r="B481" s="4"/>
    </row>
    <row r="482" spans="1:2" x14ac:dyDescent="0.25">
      <c r="A482" s="4"/>
      <c r="B482" s="4"/>
    </row>
    <row r="483" spans="1:2" x14ac:dyDescent="0.25">
      <c r="A483" s="4"/>
      <c r="B483" s="4"/>
    </row>
    <row r="484" spans="1:2" x14ac:dyDescent="0.25">
      <c r="A484" s="4"/>
      <c r="B484" s="4"/>
    </row>
    <row r="485" spans="1:2" x14ac:dyDescent="0.25">
      <c r="A485" s="4"/>
      <c r="B485" s="4"/>
    </row>
    <row r="486" spans="1:2" x14ac:dyDescent="0.25">
      <c r="A486" s="4"/>
      <c r="B486" s="4"/>
    </row>
    <row r="487" spans="1:2" x14ac:dyDescent="0.25">
      <c r="A487" s="4"/>
      <c r="B487" s="4"/>
    </row>
    <row r="488" spans="1:2" x14ac:dyDescent="0.25">
      <c r="A488" s="4"/>
      <c r="B488" s="4"/>
    </row>
    <row r="489" spans="1:2" x14ac:dyDescent="0.25">
      <c r="A489" s="4"/>
      <c r="B489" s="4"/>
    </row>
    <row r="490" spans="1:2" x14ac:dyDescent="0.25">
      <c r="A490" s="4"/>
      <c r="B490" s="4"/>
    </row>
    <row r="491" spans="1:2" x14ac:dyDescent="0.25">
      <c r="A491" s="4"/>
      <c r="B491" s="4"/>
    </row>
    <row r="492" spans="1:2" x14ac:dyDescent="0.25">
      <c r="A492" s="4"/>
      <c r="B492" s="4"/>
    </row>
    <row r="493" spans="1:2" x14ac:dyDescent="0.25">
      <c r="A493" s="4"/>
      <c r="B493" s="4"/>
    </row>
    <row r="494" spans="1:2" x14ac:dyDescent="0.25">
      <c r="A494" s="4"/>
      <c r="B494" s="4"/>
    </row>
    <row r="495" spans="1:2" x14ac:dyDescent="0.25">
      <c r="A495" s="4"/>
      <c r="B495" s="4"/>
    </row>
    <row r="496" spans="1:2" x14ac:dyDescent="0.25">
      <c r="A496" s="4"/>
      <c r="B496" s="4"/>
    </row>
    <row r="497" spans="1:2" x14ac:dyDescent="0.25">
      <c r="A497" s="4"/>
      <c r="B497" s="4"/>
    </row>
    <row r="498" spans="1:2" x14ac:dyDescent="0.25">
      <c r="A498" s="4"/>
      <c r="B498" s="4"/>
    </row>
    <row r="499" spans="1:2" x14ac:dyDescent="0.25">
      <c r="A499" s="4"/>
      <c r="B499" s="4"/>
    </row>
    <row r="500" spans="1:2" x14ac:dyDescent="0.25">
      <c r="A500" s="4"/>
      <c r="B500" s="4"/>
    </row>
    <row r="501" spans="1:2" x14ac:dyDescent="0.25">
      <c r="A501" s="4"/>
      <c r="B501" s="4"/>
    </row>
    <row r="502" spans="1:2" x14ac:dyDescent="0.25">
      <c r="A502" s="4"/>
      <c r="B502" s="4"/>
    </row>
    <row r="503" spans="1:2" x14ac:dyDescent="0.25">
      <c r="A503" s="4"/>
      <c r="B503" s="4"/>
    </row>
    <row r="504" spans="1:2" x14ac:dyDescent="0.25">
      <c r="A504" s="4"/>
      <c r="B504" s="4"/>
    </row>
    <row r="505" spans="1:2" x14ac:dyDescent="0.25">
      <c r="A505" s="4"/>
      <c r="B505" s="4"/>
    </row>
    <row r="506" spans="1:2" x14ac:dyDescent="0.25">
      <c r="A506" s="4"/>
      <c r="B506" s="4"/>
    </row>
    <row r="507" spans="1:2" x14ac:dyDescent="0.25">
      <c r="A507" s="4"/>
      <c r="B507" s="4"/>
    </row>
    <row r="508" spans="1:2" x14ac:dyDescent="0.25">
      <c r="A508" s="4"/>
      <c r="B508" s="4"/>
    </row>
    <row r="509" spans="1:2" x14ac:dyDescent="0.25">
      <c r="A509" s="4"/>
      <c r="B509" s="4"/>
    </row>
    <row r="510" spans="1:2" x14ac:dyDescent="0.25">
      <c r="A510" s="4"/>
      <c r="B510" s="4"/>
    </row>
    <row r="511" spans="1:2" x14ac:dyDescent="0.25">
      <c r="A511" s="4"/>
      <c r="B511" s="4"/>
    </row>
    <row r="512" spans="1:2" x14ac:dyDescent="0.25">
      <c r="A512" s="4"/>
      <c r="B512" s="4"/>
    </row>
    <row r="513" spans="1:2" x14ac:dyDescent="0.25">
      <c r="A513" s="4"/>
      <c r="B513" s="4"/>
    </row>
    <row r="514" spans="1:2" x14ac:dyDescent="0.25">
      <c r="A514" s="4"/>
      <c r="B514" s="4"/>
    </row>
    <row r="515" spans="1:2" x14ac:dyDescent="0.25">
      <c r="A515" s="4"/>
      <c r="B515" s="4"/>
    </row>
    <row r="516" spans="1:2" x14ac:dyDescent="0.25">
      <c r="A516" s="4"/>
      <c r="B516" s="4"/>
    </row>
    <row r="517" spans="1:2" x14ac:dyDescent="0.25">
      <c r="A517" s="4"/>
      <c r="B517" s="4"/>
    </row>
    <row r="518" spans="1:2" x14ac:dyDescent="0.25">
      <c r="A518" s="4"/>
      <c r="B518" s="4"/>
    </row>
    <row r="519" spans="1:2" x14ac:dyDescent="0.25">
      <c r="A519" s="4"/>
      <c r="B519" s="4"/>
    </row>
    <row r="520" spans="1:2" x14ac:dyDescent="0.25">
      <c r="A520" s="4"/>
      <c r="B520" s="4"/>
    </row>
    <row r="521" spans="1:2" x14ac:dyDescent="0.25">
      <c r="A521" s="4"/>
      <c r="B521" s="4"/>
    </row>
    <row r="522" spans="1:2" x14ac:dyDescent="0.25">
      <c r="A522" s="4"/>
      <c r="B522" s="4"/>
    </row>
    <row r="523" spans="1:2" x14ac:dyDescent="0.25">
      <c r="A523" s="4"/>
      <c r="B523" s="4"/>
    </row>
    <row r="524" spans="1:2" x14ac:dyDescent="0.25">
      <c r="A524" s="4"/>
      <c r="B524" s="4"/>
    </row>
    <row r="525" spans="1:2" x14ac:dyDescent="0.25">
      <c r="A525" s="4"/>
      <c r="B525" s="4"/>
    </row>
    <row r="526" spans="1:2" x14ac:dyDescent="0.25">
      <c r="A526" s="4"/>
      <c r="B526" s="4"/>
    </row>
    <row r="527" spans="1:2" x14ac:dyDescent="0.25">
      <c r="A527" s="4"/>
      <c r="B527" s="4"/>
    </row>
    <row r="528" spans="1:2" x14ac:dyDescent="0.25">
      <c r="A528" s="4"/>
      <c r="B528" s="4"/>
    </row>
    <row r="529" spans="1:2" x14ac:dyDescent="0.25">
      <c r="A529" s="4"/>
      <c r="B529" s="4"/>
    </row>
    <row r="530" spans="1:2" x14ac:dyDescent="0.25">
      <c r="A530" s="4"/>
      <c r="B530" s="4"/>
    </row>
    <row r="531" spans="1:2" x14ac:dyDescent="0.25">
      <c r="A531" s="4"/>
      <c r="B531" s="4"/>
    </row>
    <row r="532" spans="1:2" x14ac:dyDescent="0.25">
      <c r="A532" s="4"/>
      <c r="B532" s="4"/>
    </row>
    <row r="533" spans="1:2" x14ac:dyDescent="0.25">
      <c r="A533" s="4"/>
      <c r="B533" s="4"/>
    </row>
    <row r="534" spans="1:2" x14ac:dyDescent="0.25">
      <c r="A534" s="4"/>
      <c r="B534" s="4"/>
    </row>
    <row r="535" spans="1:2" x14ac:dyDescent="0.25">
      <c r="A535" s="4"/>
      <c r="B535" s="4"/>
    </row>
    <row r="536" spans="1:2" x14ac:dyDescent="0.25">
      <c r="A536" s="4"/>
      <c r="B536" s="4"/>
    </row>
    <row r="537" spans="1:2" x14ac:dyDescent="0.25">
      <c r="A537" s="4"/>
      <c r="B537" s="4"/>
    </row>
    <row r="538" spans="1:2" x14ac:dyDescent="0.25">
      <c r="A538" s="4"/>
      <c r="B538" s="4"/>
    </row>
    <row r="539" spans="1:2" x14ac:dyDescent="0.25">
      <c r="A539" s="4"/>
      <c r="B539" s="4"/>
    </row>
    <row r="540" spans="1:2" x14ac:dyDescent="0.25">
      <c r="A540" s="4"/>
      <c r="B540" s="4"/>
    </row>
    <row r="541" spans="1:2" x14ac:dyDescent="0.25">
      <c r="A541" s="4"/>
      <c r="B541" s="4"/>
    </row>
    <row r="542" spans="1:2" x14ac:dyDescent="0.25">
      <c r="A542" s="4"/>
      <c r="B542" s="4"/>
    </row>
    <row r="543" spans="1:2" x14ac:dyDescent="0.25">
      <c r="A543" s="4"/>
      <c r="B543" s="4"/>
    </row>
    <row r="544" spans="1:2" x14ac:dyDescent="0.25">
      <c r="A544" s="4"/>
      <c r="B544" s="4"/>
    </row>
    <row r="545" spans="1:2" x14ac:dyDescent="0.25">
      <c r="A545" s="4"/>
      <c r="B545" s="4"/>
    </row>
    <row r="546" spans="1:2" x14ac:dyDescent="0.25">
      <c r="A546" s="4"/>
      <c r="B546" s="4"/>
    </row>
    <row r="547" spans="1:2" x14ac:dyDescent="0.25">
      <c r="A547" s="4"/>
      <c r="B547" s="4"/>
    </row>
    <row r="548" spans="1:2" x14ac:dyDescent="0.25">
      <c r="A548" s="4"/>
      <c r="B548" s="4"/>
    </row>
    <row r="549" spans="1:2" x14ac:dyDescent="0.25">
      <c r="A549" s="4"/>
      <c r="B549" s="4"/>
    </row>
    <row r="550" spans="1:2" x14ac:dyDescent="0.25">
      <c r="A550" s="4"/>
      <c r="B550" s="4"/>
    </row>
    <row r="551" spans="1:2" x14ac:dyDescent="0.25">
      <c r="A551" s="4"/>
      <c r="B551" s="4"/>
    </row>
    <row r="552" spans="1:2" x14ac:dyDescent="0.25">
      <c r="A552" s="4"/>
      <c r="B552" s="4"/>
    </row>
    <row r="553" spans="1:2" x14ac:dyDescent="0.25">
      <c r="A553" s="4"/>
      <c r="B553" s="4"/>
    </row>
    <row r="554" spans="1:2" x14ac:dyDescent="0.25">
      <c r="A554" s="4"/>
      <c r="B554" s="4"/>
    </row>
    <row r="555" spans="1:2" x14ac:dyDescent="0.25">
      <c r="A555" s="4"/>
      <c r="B555" s="4"/>
    </row>
    <row r="556" spans="1:2" x14ac:dyDescent="0.25">
      <c r="A556" s="4"/>
      <c r="B556" s="4"/>
    </row>
    <row r="557" spans="1:2" x14ac:dyDescent="0.25">
      <c r="A557" s="4"/>
      <c r="B557" s="4"/>
    </row>
    <row r="558" spans="1:2" x14ac:dyDescent="0.25">
      <c r="A558" s="4"/>
      <c r="B558" s="4"/>
    </row>
    <row r="559" spans="1:2" x14ac:dyDescent="0.25">
      <c r="A559" s="4"/>
      <c r="B559" s="4"/>
    </row>
    <row r="560" spans="1:2" x14ac:dyDescent="0.25">
      <c r="A560" s="4"/>
      <c r="B560" s="4"/>
    </row>
    <row r="561" spans="1:2" x14ac:dyDescent="0.25">
      <c r="A561" s="4"/>
      <c r="B561" s="4"/>
    </row>
    <row r="562" spans="1:2" x14ac:dyDescent="0.25">
      <c r="A562" s="4"/>
      <c r="B562" s="4"/>
    </row>
    <row r="563" spans="1:2" x14ac:dyDescent="0.25">
      <c r="A563" s="4"/>
      <c r="B563" s="4"/>
    </row>
    <row r="564" spans="1:2" x14ac:dyDescent="0.25">
      <c r="A564" s="4"/>
      <c r="B564" s="4"/>
    </row>
    <row r="565" spans="1:2" x14ac:dyDescent="0.25">
      <c r="A565" s="4"/>
      <c r="B565" s="4"/>
    </row>
    <row r="566" spans="1:2" x14ac:dyDescent="0.25">
      <c r="A566" s="4"/>
      <c r="B566" s="4"/>
    </row>
    <row r="567" spans="1:2" x14ac:dyDescent="0.25">
      <c r="A567" s="4"/>
      <c r="B567" s="4"/>
    </row>
    <row r="568" spans="1:2" x14ac:dyDescent="0.25">
      <c r="A568" s="4"/>
      <c r="B568" s="4"/>
    </row>
    <row r="569" spans="1:2" x14ac:dyDescent="0.25">
      <c r="A569" s="4"/>
      <c r="B569" s="4"/>
    </row>
    <row r="570" spans="1:2" x14ac:dyDescent="0.25">
      <c r="A570" s="4"/>
      <c r="B570" s="4"/>
    </row>
    <row r="571" spans="1:2" x14ac:dyDescent="0.25">
      <c r="A571" s="4"/>
      <c r="B571" s="4"/>
    </row>
    <row r="572" spans="1:2" x14ac:dyDescent="0.25">
      <c r="A572" s="4"/>
      <c r="B572" s="4"/>
    </row>
    <row r="573" spans="1:2" x14ac:dyDescent="0.25">
      <c r="A573" s="4"/>
      <c r="B573" s="4"/>
    </row>
    <row r="574" spans="1:2" x14ac:dyDescent="0.25">
      <c r="A574" s="4"/>
      <c r="B574" s="4"/>
    </row>
    <row r="575" spans="1:2" x14ac:dyDescent="0.25">
      <c r="A575" s="4"/>
      <c r="B575" s="4"/>
    </row>
    <row r="576" spans="1:2" x14ac:dyDescent="0.25">
      <c r="A576" s="4"/>
      <c r="B576" s="4"/>
    </row>
    <row r="577" spans="1:2" x14ac:dyDescent="0.25">
      <c r="A577" s="4"/>
      <c r="B577" s="4"/>
    </row>
    <row r="578" spans="1:2" x14ac:dyDescent="0.25">
      <c r="A578" s="4"/>
      <c r="B578" s="4"/>
    </row>
    <row r="579" spans="1:2" x14ac:dyDescent="0.25">
      <c r="A579" s="4"/>
      <c r="B579" s="4"/>
    </row>
    <row r="580" spans="1:2" x14ac:dyDescent="0.25">
      <c r="A580" s="4"/>
      <c r="B580" s="4"/>
    </row>
    <row r="581" spans="1:2" x14ac:dyDescent="0.25">
      <c r="A581" s="4"/>
      <c r="B581" s="4"/>
    </row>
    <row r="582" spans="1:2" x14ac:dyDescent="0.25">
      <c r="A582" s="4"/>
      <c r="B582" s="4"/>
    </row>
    <row r="583" spans="1:2" x14ac:dyDescent="0.25">
      <c r="A583" s="4"/>
      <c r="B583" s="4"/>
    </row>
    <row r="584" spans="1:2" x14ac:dyDescent="0.25">
      <c r="A584" s="4"/>
      <c r="B584" s="4"/>
    </row>
    <row r="585" spans="1:2" x14ac:dyDescent="0.25">
      <c r="A585" s="4"/>
      <c r="B585" s="4"/>
    </row>
    <row r="586" spans="1:2" x14ac:dyDescent="0.25">
      <c r="A586" s="4"/>
      <c r="B586" s="4"/>
    </row>
    <row r="587" spans="1:2" x14ac:dyDescent="0.25">
      <c r="A587" s="4"/>
      <c r="B587" s="4"/>
    </row>
    <row r="588" spans="1:2" x14ac:dyDescent="0.25">
      <c r="A588" s="4"/>
      <c r="B588" s="4"/>
    </row>
    <row r="589" spans="1:2" x14ac:dyDescent="0.25">
      <c r="A589" s="4"/>
      <c r="B589" s="4"/>
    </row>
    <row r="590" spans="1:2" x14ac:dyDescent="0.25">
      <c r="A590" s="4"/>
      <c r="B590" s="4"/>
    </row>
    <row r="591" spans="1:2" x14ac:dyDescent="0.25">
      <c r="A591" s="4"/>
      <c r="B591" s="4"/>
    </row>
    <row r="592" spans="1:2" x14ac:dyDescent="0.25">
      <c r="A592" s="4"/>
      <c r="B592" s="4"/>
    </row>
    <row r="593" spans="1:2" x14ac:dyDescent="0.25">
      <c r="A593" s="4"/>
      <c r="B593" s="4"/>
    </row>
    <row r="594" spans="1:2" x14ac:dyDescent="0.25">
      <c r="A594" s="4"/>
      <c r="B594" s="4"/>
    </row>
    <row r="595" spans="1:2" x14ac:dyDescent="0.25">
      <c r="A595" s="4"/>
      <c r="B595" s="4"/>
    </row>
    <row r="596" spans="1:2" x14ac:dyDescent="0.25">
      <c r="A596" s="4"/>
      <c r="B596" s="4"/>
    </row>
    <row r="597" spans="1:2" x14ac:dyDescent="0.25">
      <c r="A597" s="4"/>
      <c r="B597" s="4"/>
    </row>
    <row r="598" spans="1:2" x14ac:dyDescent="0.25">
      <c r="A598" s="4"/>
      <c r="B598" s="4"/>
    </row>
    <row r="599" spans="1:2" x14ac:dyDescent="0.25">
      <c r="A599" s="4"/>
      <c r="B599" s="4"/>
    </row>
    <row r="600" spans="1:2" x14ac:dyDescent="0.25">
      <c r="A600" s="4"/>
      <c r="B600" s="4"/>
    </row>
    <row r="601" spans="1:2" x14ac:dyDescent="0.25">
      <c r="A601" s="4"/>
      <c r="B601" s="4"/>
    </row>
    <row r="602" spans="1:2" x14ac:dyDescent="0.25">
      <c r="A602" s="4"/>
      <c r="B602" s="4"/>
    </row>
    <row r="603" spans="1:2" x14ac:dyDescent="0.25">
      <c r="A603" s="4"/>
      <c r="B603" s="4"/>
    </row>
    <row r="604" spans="1:2" x14ac:dyDescent="0.25">
      <c r="A604" s="4"/>
      <c r="B604" s="4"/>
    </row>
    <row r="605" spans="1:2" x14ac:dyDescent="0.25">
      <c r="A605" s="4"/>
      <c r="B605" s="4"/>
    </row>
    <row r="606" spans="1:2" x14ac:dyDescent="0.25">
      <c r="A606" s="4"/>
      <c r="B606" s="4"/>
    </row>
    <row r="607" spans="1:2" x14ac:dyDescent="0.25">
      <c r="A607" s="4"/>
      <c r="B607" s="4"/>
    </row>
    <row r="608" spans="1:2" x14ac:dyDescent="0.25">
      <c r="A608" s="4"/>
      <c r="B608" s="4"/>
    </row>
    <row r="609" spans="1:2" x14ac:dyDescent="0.25">
      <c r="A609" s="4"/>
      <c r="B609" s="4"/>
    </row>
    <row r="610" spans="1:2" x14ac:dyDescent="0.25">
      <c r="A610" s="4"/>
      <c r="B610" s="4"/>
    </row>
    <row r="611" spans="1:2" x14ac:dyDescent="0.25">
      <c r="A611" s="4"/>
      <c r="B611" s="4"/>
    </row>
    <row r="612" spans="1:2" x14ac:dyDescent="0.25">
      <c r="A612" s="4"/>
      <c r="B612" s="4"/>
    </row>
    <row r="613" spans="1:2" x14ac:dyDescent="0.25">
      <c r="A613" s="4"/>
      <c r="B613" s="4"/>
    </row>
    <row r="614" spans="1:2" x14ac:dyDescent="0.25">
      <c r="A614" s="4"/>
      <c r="B614" s="4"/>
    </row>
    <row r="615" spans="1:2" x14ac:dyDescent="0.25">
      <c r="A615" s="4"/>
      <c r="B615" s="4"/>
    </row>
    <row r="616" spans="1:2" x14ac:dyDescent="0.25">
      <c r="A616" s="4"/>
      <c r="B616" s="4"/>
    </row>
    <row r="617" spans="1:2" x14ac:dyDescent="0.25">
      <c r="A617" s="4"/>
      <c r="B617" s="4"/>
    </row>
    <row r="618" spans="1:2" x14ac:dyDescent="0.25">
      <c r="A618" s="4"/>
      <c r="B618" s="4"/>
    </row>
    <row r="619" spans="1:2" x14ac:dyDescent="0.25">
      <c r="A619" s="4"/>
      <c r="B619" s="4"/>
    </row>
    <row r="620" spans="1:2" x14ac:dyDescent="0.25">
      <c r="A620" s="4"/>
      <c r="B620" s="4"/>
    </row>
    <row r="621" spans="1:2" x14ac:dyDescent="0.25">
      <c r="A621" s="4"/>
      <c r="B621" s="4"/>
    </row>
    <row r="622" spans="1:2" x14ac:dyDescent="0.25">
      <c r="A622" s="4"/>
      <c r="B622" s="4"/>
    </row>
    <row r="623" spans="1:2" x14ac:dyDescent="0.25">
      <c r="A623" s="4"/>
      <c r="B623" s="4"/>
    </row>
    <row r="624" spans="1:2" x14ac:dyDescent="0.25">
      <c r="A624" s="4"/>
      <c r="B624" s="4"/>
    </row>
    <row r="625" spans="1:2" x14ac:dyDescent="0.25">
      <c r="A625" s="4"/>
      <c r="B625" s="4"/>
    </row>
    <row r="626" spans="1:2" x14ac:dyDescent="0.25">
      <c r="A626" s="4"/>
      <c r="B626" s="4"/>
    </row>
    <row r="627" spans="1:2" x14ac:dyDescent="0.25">
      <c r="A627" s="4"/>
      <c r="B627" s="4"/>
    </row>
    <row r="628" spans="1:2" x14ac:dyDescent="0.25">
      <c r="A628" s="4"/>
      <c r="B628" s="4"/>
    </row>
    <row r="629" spans="1:2" x14ac:dyDescent="0.25">
      <c r="A629" s="4"/>
      <c r="B629" s="4"/>
    </row>
    <row r="630" spans="1:2" x14ac:dyDescent="0.25">
      <c r="A630" s="4"/>
      <c r="B630" s="4"/>
    </row>
    <row r="631" spans="1:2" x14ac:dyDescent="0.25">
      <c r="A631" s="4"/>
      <c r="B631" s="4"/>
    </row>
    <row r="632" spans="1:2" x14ac:dyDescent="0.25">
      <c r="A632" s="4"/>
      <c r="B632" s="4"/>
    </row>
    <row r="633" spans="1:2" x14ac:dyDescent="0.25">
      <c r="A633" s="4"/>
      <c r="B633" s="4"/>
    </row>
    <row r="634" spans="1:2" x14ac:dyDescent="0.25">
      <c r="A634" s="4"/>
      <c r="B634" s="4"/>
    </row>
    <row r="635" spans="1:2" x14ac:dyDescent="0.25">
      <c r="A635" s="4"/>
      <c r="B635" s="4"/>
    </row>
    <row r="636" spans="1:2" x14ac:dyDescent="0.25">
      <c r="A636" s="4"/>
      <c r="B636" s="4"/>
    </row>
    <row r="637" spans="1:2" x14ac:dyDescent="0.25">
      <c r="A637" s="4"/>
      <c r="B637" s="4"/>
    </row>
    <row r="638" spans="1:2" x14ac:dyDescent="0.25">
      <c r="A638" s="4"/>
      <c r="B638" s="4"/>
    </row>
    <row r="639" spans="1:2" x14ac:dyDescent="0.25">
      <c r="A639" s="4"/>
      <c r="B639" s="4"/>
    </row>
    <row r="640" spans="1:2" x14ac:dyDescent="0.25">
      <c r="A640" s="4"/>
      <c r="B640" s="4"/>
    </row>
    <row r="641" spans="1:2" x14ac:dyDescent="0.25">
      <c r="A641" s="4"/>
      <c r="B641" s="4"/>
    </row>
    <row r="642" spans="1:2" x14ac:dyDescent="0.25">
      <c r="A642" s="4"/>
      <c r="B642" s="4"/>
    </row>
    <row r="643" spans="1:2" x14ac:dyDescent="0.25">
      <c r="A643" s="4"/>
      <c r="B643" s="4"/>
    </row>
    <row r="644" spans="1:2" x14ac:dyDescent="0.25">
      <c r="A644" s="4"/>
      <c r="B644" s="4"/>
    </row>
    <row r="645" spans="1:2" x14ac:dyDescent="0.25">
      <c r="A645" s="4"/>
      <c r="B645" s="4"/>
    </row>
    <row r="646" spans="1:2" x14ac:dyDescent="0.25">
      <c r="A646" s="4"/>
      <c r="B646" s="4"/>
    </row>
    <row r="647" spans="1:2" x14ac:dyDescent="0.25">
      <c r="A647" s="4"/>
      <c r="B647" s="4"/>
    </row>
    <row r="648" spans="1:2" x14ac:dyDescent="0.25">
      <c r="A648" s="4"/>
      <c r="B648" s="4"/>
    </row>
    <row r="649" spans="1:2" x14ac:dyDescent="0.25">
      <c r="A649" s="4"/>
      <c r="B649" s="4"/>
    </row>
    <row r="650" spans="1:2" x14ac:dyDescent="0.25">
      <c r="A650" s="4"/>
      <c r="B650" s="4"/>
    </row>
    <row r="651" spans="1:2" x14ac:dyDescent="0.25">
      <c r="A651" s="4"/>
      <c r="B651" s="4"/>
    </row>
    <row r="652" spans="1:2" x14ac:dyDescent="0.25">
      <c r="A652" s="4"/>
      <c r="B652" s="4"/>
    </row>
    <row r="653" spans="1:2" x14ac:dyDescent="0.25">
      <c r="A653" s="4"/>
      <c r="B653" s="4"/>
    </row>
    <row r="654" spans="1:2" x14ac:dyDescent="0.25">
      <c r="A654" s="4"/>
      <c r="B654" s="4"/>
    </row>
    <row r="655" spans="1:2" x14ac:dyDescent="0.25">
      <c r="A655" s="4"/>
      <c r="B655" s="4"/>
    </row>
    <row r="656" spans="1:2" x14ac:dyDescent="0.25">
      <c r="A656" s="4"/>
      <c r="B656" s="4"/>
    </row>
    <row r="657" spans="1:2" x14ac:dyDescent="0.25">
      <c r="A657" s="4"/>
      <c r="B657" s="4"/>
    </row>
    <row r="658" spans="1:2" x14ac:dyDescent="0.25">
      <c r="A658" s="4"/>
      <c r="B658" s="4"/>
    </row>
    <row r="659" spans="1:2" x14ac:dyDescent="0.25">
      <c r="A659" s="4"/>
      <c r="B659" s="4"/>
    </row>
    <row r="660" spans="1:2" x14ac:dyDescent="0.25">
      <c r="A660" s="4"/>
      <c r="B660" s="4"/>
    </row>
    <row r="661" spans="1:2" x14ac:dyDescent="0.25">
      <c r="A661" s="4"/>
      <c r="B661" s="4"/>
    </row>
    <row r="662" spans="1:2" x14ac:dyDescent="0.25">
      <c r="A662" s="4"/>
      <c r="B662" s="4"/>
    </row>
    <row r="663" spans="1:2" x14ac:dyDescent="0.25">
      <c r="A663" s="4"/>
      <c r="B663" s="4"/>
    </row>
    <row r="664" spans="1:2" x14ac:dyDescent="0.25">
      <c r="A664" s="4"/>
      <c r="B664" s="4"/>
    </row>
    <row r="665" spans="1:2" x14ac:dyDescent="0.25">
      <c r="A665" s="4"/>
      <c r="B665" s="4"/>
    </row>
    <row r="666" spans="1:2" x14ac:dyDescent="0.25">
      <c r="A666" s="4"/>
      <c r="B666" s="4"/>
    </row>
    <row r="667" spans="1:2" x14ac:dyDescent="0.25">
      <c r="A667" s="4"/>
      <c r="B667" s="4"/>
    </row>
    <row r="668" spans="1:2" x14ac:dyDescent="0.25">
      <c r="A668" s="4"/>
      <c r="B668" s="4"/>
    </row>
    <row r="669" spans="1:2" x14ac:dyDescent="0.25">
      <c r="A669" s="4"/>
      <c r="B669" s="4"/>
    </row>
    <row r="670" spans="1:2" x14ac:dyDescent="0.25">
      <c r="A670" s="4"/>
      <c r="B670" s="4"/>
    </row>
    <row r="671" spans="1:2" x14ac:dyDescent="0.25">
      <c r="A671" s="4"/>
      <c r="B671" s="4"/>
    </row>
    <row r="672" spans="1:2" x14ac:dyDescent="0.25">
      <c r="A672" s="4"/>
      <c r="B672" s="4"/>
    </row>
    <row r="673" spans="1:2" x14ac:dyDescent="0.25">
      <c r="A673" s="4"/>
      <c r="B673" s="4"/>
    </row>
    <row r="674" spans="1:2" x14ac:dyDescent="0.25">
      <c r="A674" s="4"/>
      <c r="B674" s="4"/>
    </row>
    <row r="675" spans="1:2" x14ac:dyDescent="0.25">
      <c r="A675" s="4"/>
      <c r="B675" s="4"/>
    </row>
    <row r="676" spans="1:2" x14ac:dyDescent="0.25">
      <c r="A676" s="4"/>
      <c r="B676" s="4"/>
    </row>
    <row r="677" spans="1:2" x14ac:dyDescent="0.25">
      <c r="A677" s="4"/>
      <c r="B677" s="4"/>
    </row>
    <row r="678" spans="1:2" x14ac:dyDescent="0.25">
      <c r="A678" s="4"/>
      <c r="B678" s="4"/>
    </row>
    <row r="679" spans="1:2" x14ac:dyDescent="0.25">
      <c r="A679" s="4"/>
      <c r="B679" s="4"/>
    </row>
    <row r="680" spans="1:2" x14ac:dyDescent="0.25">
      <c r="A680" s="4"/>
      <c r="B680" s="4"/>
    </row>
    <row r="681" spans="1:2" x14ac:dyDescent="0.25">
      <c r="A681" s="4"/>
      <c r="B681" s="4"/>
    </row>
    <row r="682" spans="1:2" x14ac:dyDescent="0.25">
      <c r="A682" s="4"/>
      <c r="B682" s="4"/>
    </row>
    <row r="683" spans="1:2" x14ac:dyDescent="0.25">
      <c r="A683" s="4"/>
      <c r="B683" s="4"/>
    </row>
    <row r="684" spans="1:2" x14ac:dyDescent="0.25">
      <c r="A684" s="4"/>
      <c r="B684" s="4"/>
    </row>
    <row r="685" spans="1:2" x14ac:dyDescent="0.25">
      <c r="A685" s="4"/>
      <c r="B685" s="4"/>
    </row>
    <row r="686" spans="1:2" x14ac:dyDescent="0.25">
      <c r="A686" s="4"/>
      <c r="B686" s="4"/>
    </row>
    <row r="687" spans="1:2" x14ac:dyDescent="0.25">
      <c r="A687" s="4"/>
      <c r="B687" s="4"/>
    </row>
    <row r="688" spans="1:2" x14ac:dyDescent="0.25">
      <c r="A688" s="4"/>
      <c r="B688" s="4"/>
    </row>
    <row r="689" spans="1:2" x14ac:dyDescent="0.25">
      <c r="A689" s="4"/>
      <c r="B689" s="4"/>
    </row>
    <row r="690" spans="1:2" x14ac:dyDescent="0.25">
      <c r="A690" s="4"/>
      <c r="B690" s="4"/>
    </row>
    <row r="691" spans="1:2" x14ac:dyDescent="0.25">
      <c r="A691" s="4"/>
      <c r="B691" s="4"/>
    </row>
    <row r="692" spans="1:2" x14ac:dyDescent="0.25">
      <c r="A692" s="4"/>
      <c r="B692" s="4"/>
    </row>
    <row r="693" spans="1:2" x14ac:dyDescent="0.25">
      <c r="A693" s="4"/>
      <c r="B693" s="4"/>
    </row>
    <row r="694" spans="1:2" x14ac:dyDescent="0.25">
      <c r="A694" s="4"/>
      <c r="B694" s="4"/>
    </row>
    <row r="695" spans="1:2" x14ac:dyDescent="0.25">
      <c r="A695" s="4"/>
      <c r="B695" s="4"/>
    </row>
    <row r="696" spans="1:2" x14ac:dyDescent="0.25">
      <c r="A696" s="4"/>
      <c r="B696" s="4"/>
    </row>
    <row r="697" spans="1:2" x14ac:dyDescent="0.25">
      <c r="A697" s="4"/>
      <c r="B697" s="4"/>
    </row>
    <row r="698" spans="1:2" x14ac:dyDescent="0.25">
      <c r="A698" s="4"/>
      <c r="B698" s="4"/>
    </row>
    <row r="699" spans="1:2" x14ac:dyDescent="0.25">
      <c r="A699" s="4"/>
      <c r="B699" s="4"/>
    </row>
    <row r="700" spans="1:2" x14ac:dyDescent="0.25">
      <c r="A700" s="4"/>
      <c r="B700" s="4"/>
    </row>
    <row r="701" spans="1:2" x14ac:dyDescent="0.25">
      <c r="A701" s="4"/>
      <c r="B701" s="4"/>
    </row>
    <row r="702" spans="1:2" x14ac:dyDescent="0.25">
      <c r="A702" s="4"/>
      <c r="B702" s="4"/>
    </row>
    <row r="703" spans="1:2" x14ac:dyDescent="0.25">
      <c r="A703" s="4"/>
      <c r="B703" s="4"/>
    </row>
    <row r="704" spans="1:2" x14ac:dyDescent="0.25">
      <c r="A704" s="4"/>
      <c r="B704" s="4"/>
    </row>
    <row r="705" spans="1:2" x14ac:dyDescent="0.25">
      <c r="A705" s="4"/>
      <c r="B705" s="4"/>
    </row>
    <row r="706" spans="1:2" x14ac:dyDescent="0.25">
      <c r="A706" s="4"/>
      <c r="B706" s="4"/>
    </row>
    <row r="707" spans="1:2" x14ac:dyDescent="0.25">
      <c r="A707" s="4"/>
      <c r="B707" s="4"/>
    </row>
    <row r="708" spans="1:2" x14ac:dyDescent="0.25">
      <c r="A708" s="4"/>
      <c r="B708" s="4"/>
    </row>
    <row r="709" spans="1:2" x14ac:dyDescent="0.25">
      <c r="A709" s="4"/>
      <c r="B709" s="4"/>
    </row>
    <row r="710" spans="1:2" x14ac:dyDescent="0.25">
      <c r="A710" s="4"/>
      <c r="B710" s="4"/>
    </row>
    <row r="711" spans="1:2" x14ac:dyDescent="0.25">
      <c r="A711" s="4"/>
      <c r="B711" s="4"/>
    </row>
    <row r="712" spans="1:2" x14ac:dyDescent="0.25">
      <c r="A712" s="4"/>
      <c r="B712" s="4"/>
    </row>
    <row r="713" spans="1:2" x14ac:dyDescent="0.25">
      <c r="A713" s="4"/>
      <c r="B713" s="4"/>
    </row>
    <row r="714" spans="1:2" x14ac:dyDescent="0.25">
      <c r="A714" s="4"/>
      <c r="B714" s="4"/>
    </row>
    <row r="715" spans="1:2" x14ac:dyDescent="0.25">
      <c r="A715" s="4"/>
      <c r="B715" s="4"/>
    </row>
    <row r="716" spans="1:2" x14ac:dyDescent="0.25">
      <c r="A716" s="4"/>
      <c r="B716" s="4"/>
    </row>
    <row r="717" spans="1:2" x14ac:dyDescent="0.25">
      <c r="A717" s="4"/>
      <c r="B717" s="4"/>
    </row>
    <row r="718" spans="1:2" x14ac:dyDescent="0.25">
      <c r="A718" s="4"/>
      <c r="B718" s="4"/>
    </row>
    <row r="719" spans="1:2" x14ac:dyDescent="0.25">
      <c r="A719" s="4"/>
      <c r="B719" s="4"/>
    </row>
    <row r="720" spans="1:2" x14ac:dyDescent="0.25">
      <c r="A720" s="4"/>
      <c r="B720" s="4"/>
    </row>
    <row r="721" spans="1:2" x14ac:dyDescent="0.25">
      <c r="A721" s="4"/>
      <c r="B721" s="4"/>
    </row>
    <row r="722" spans="1:2" x14ac:dyDescent="0.25">
      <c r="A722" s="4"/>
      <c r="B722" s="4"/>
    </row>
    <row r="723" spans="1:2" x14ac:dyDescent="0.25">
      <c r="A723" s="4"/>
      <c r="B723" s="4"/>
    </row>
    <row r="724" spans="1:2" x14ac:dyDescent="0.25">
      <c r="A724" s="4"/>
      <c r="B724" s="4"/>
    </row>
    <row r="725" spans="1:2" x14ac:dyDescent="0.25">
      <c r="A725" s="4"/>
      <c r="B725" s="4"/>
    </row>
    <row r="726" spans="1:2" x14ac:dyDescent="0.25">
      <c r="A726" s="4"/>
      <c r="B726" s="4"/>
    </row>
    <row r="727" spans="1:2" x14ac:dyDescent="0.25">
      <c r="A727" s="4"/>
      <c r="B727" s="4"/>
    </row>
    <row r="728" spans="1:2" x14ac:dyDescent="0.25">
      <c r="A728" s="4"/>
      <c r="B728" s="4"/>
    </row>
    <row r="729" spans="1:2" x14ac:dyDescent="0.25">
      <c r="A729" s="4"/>
      <c r="B729" s="4"/>
    </row>
    <row r="730" spans="1:2" x14ac:dyDescent="0.25">
      <c r="A730" s="4"/>
      <c r="B730" s="4"/>
    </row>
    <row r="731" spans="1:2" x14ac:dyDescent="0.25">
      <c r="A731" s="4"/>
      <c r="B731" s="4"/>
    </row>
    <row r="732" spans="1:2" x14ac:dyDescent="0.25">
      <c r="A732" s="4"/>
      <c r="B732" s="4"/>
    </row>
    <row r="733" spans="1:2" x14ac:dyDescent="0.25">
      <c r="A733" s="4"/>
      <c r="B733" s="4"/>
    </row>
    <row r="734" spans="1:2" x14ac:dyDescent="0.25">
      <c r="A734" s="4"/>
      <c r="B734" s="4"/>
    </row>
    <row r="735" spans="1:2" x14ac:dyDescent="0.25">
      <c r="A735" s="4"/>
      <c r="B735" s="4"/>
    </row>
    <row r="736" spans="1:2" x14ac:dyDescent="0.25">
      <c r="A736" s="4"/>
      <c r="B736" s="4"/>
    </row>
    <row r="737" spans="1:2" x14ac:dyDescent="0.25">
      <c r="A737" s="4"/>
      <c r="B737" s="4"/>
    </row>
    <row r="738" spans="1:2" x14ac:dyDescent="0.25">
      <c r="A738" s="4"/>
      <c r="B738" s="4"/>
    </row>
    <row r="739" spans="1:2" x14ac:dyDescent="0.25">
      <c r="A739" s="4"/>
      <c r="B739" s="4"/>
    </row>
    <row r="740" spans="1:2" x14ac:dyDescent="0.25">
      <c r="A740" s="4"/>
      <c r="B740" s="4"/>
    </row>
    <row r="741" spans="1:2" x14ac:dyDescent="0.25">
      <c r="A741" s="4"/>
      <c r="B741" s="4"/>
    </row>
    <row r="742" spans="1:2" x14ac:dyDescent="0.25">
      <c r="A742" s="4"/>
      <c r="B742" s="4"/>
    </row>
    <row r="743" spans="1:2" x14ac:dyDescent="0.25">
      <c r="A743" s="4"/>
      <c r="B743" s="4"/>
    </row>
    <row r="744" spans="1:2" x14ac:dyDescent="0.25">
      <c r="A744" s="4"/>
      <c r="B744" s="4"/>
    </row>
    <row r="745" spans="1:2" x14ac:dyDescent="0.25">
      <c r="A745" s="4"/>
      <c r="B745" s="4"/>
    </row>
    <row r="746" spans="1:2" x14ac:dyDescent="0.25">
      <c r="A746" s="4"/>
      <c r="B746" s="4"/>
    </row>
    <row r="747" spans="1:2" x14ac:dyDescent="0.25">
      <c r="A747" s="4"/>
      <c r="B747" s="4"/>
    </row>
    <row r="748" spans="1:2" x14ac:dyDescent="0.25">
      <c r="A748" s="4"/>
      <c r="B748" s="4"/>
    </row>
    <row r="749" spans="1:2" x14ac:dyDescent="0.25">
      <c r="A749" s="4"/>
      <c r="B749" s="4"/>
    </row>
    <row r="750" spans="1:2" x14ac:dyDescent="0.25">
      <c r="A750" s="4"/>
      <c r="B750" s="4"/>
    </row>
    <row r="751" spans="1:2" x14ac:dyDescent="0.25">
      <c r="A751" s="4"/>
      <c r="B751" s="4"/>
    </row>
    <row r="752" spans="1:2" x14ac:dyDescent="0.25">
      <c r="A752" s="4"/>
      <c r="B752" s="4"/>
    </row>
    <row r="753" spans="1:2" x14ac:dyDescent="0.25">
      <c r="A753" s="4"/>
      <c r="B753" s="4"/>
    </row>
    <row r="754" spans="1:2" x14ac:dyDescent="0.25">
      <c r="A754" s="4"/>
      <c r="B754" s="4"/>
    </row>
    <row r="755" spans="1:2" x14ac:dyDescent="0.25">
      <c r="A755" s="4"/>
      <c r="B755" s="4"/>
    </row>
    <row r="756" spans="1:2" x14ac:dyDescent="0.25">
      <c r="A756" s="4"/>
      <c r="B756" s="4"/>
    </row>
    <row r="757" spans="1:2" x14ac:dyDescent="0.25">
      <c r="A757" s="4"/>
      <c r="B757" s="4"/>
    </row>
    <row r="758" spans="1:2" x14ac:dyDescent="0.25">
      <c r="A758" s="4"/>
      <c r="B758" s="4"/>
    </row>
    <row r="759" spans="1:2" x14ac:dyDescent="0.25">
      <c r="A759" s="4"/>
      <c r="B759" s="4"/>
    </row>
    <row r="760" spans="1:2" x14ac:dyDescent="0.25">
      <c r="A760" s="4"/>
      <c r="B760" s="4"/>
    </row>
    <row r="761" spans="1:2" x14ac:dyDescent="0.25">
      <c r="A761" s="4"/>
      <c r="B761" s="4"/>
    </row>
    <row r="762" spans="1:2" x14ac:dyDescent="0.25">
      <c r="A762" s="4"/>
      <c r="B762" s="4"/>
    </row>
    <row r="763" spans="1:2" x14ac:dyDescent="0.25">
      <c r="A763" s="4"/>
      <c r="B763" s="4"/>
    </row>
    <row r="764" spans="1:2" x14ac:dyDescent="0.25">
      <c r="A764" s="4"/>
      <c r="B764" s="4"/>
    </row>
    <row r="765" spans="1:2" x14ac:dyDescent="0.25">
      <c r="A765" s="4"/>
      <c r="B765" s="4"/>
    </row>
    <row r="766" spans="1:2" x14ac:dyDescent="0.25">
      <c r="A766" s="4"/>
      <c r="B766" s="4"/>
    </row>
    <row r="767" spans="1:2" x14ac:dyDescent="0.25">
      <c r="A767" s="4"/>
      <c r="B767" s="4"/>
    </row>
    <row r="768" spans="1:2" x14ac:dyDescent="0.25">
      <c r="A768" s="4"/>
      <c r="B768" s="4"/>
    </row>
    <row r="769" spans="1:2" x14ac:dyDescent="0.25">
      <c r="A769" s="4"/>
      <c r="B769" s="4"/>
    </row>
    <row r="770" spans="1:2" x14ac:dyDescent="0.25">
      <c r="A770" s="4"/>
      <c r="B770" s="4"/>
    </row>
    <row r="771" spans="1:2" x14ac:dyDescent="0.25">
      <c r="A771" s="4"/>
      <c r="B771" s="4"/>
    </row>
    <row r="772" spans="1:2" x14ac:dyDescent="0.25">
      <c r="A772" s="4"/>
      <c r="B772" s="4"/>
    </row>
    <row r="773" spans="1:2" x14ac:dyDescent="0.25">
      <c r="A773" s="4"/>
      <c r="B773" s="4"/>
    </row>
    <row r="774" spans="1:2" x14ac:dyDescent="0.25">
      <c r="A774" s="4"/>
      <c r="B774" s="4"/>
    </row>
    <row r="775" spans="1:2" x14ac:dyDescent="0.25">
      <c r="A775" s="4"/>
      <c r="B775" s="4"/>
    </row>
    <row r="776" spans="1:2" x14ac:dyDescent="0.25">
      <c r="A776" s="4"/>
      <c r="B776" s="4"/>
    </row>
    <row r="777" spans="1:2" x14ac:dyDescent="0.25">
      <c r="A777" s="4"/>
      <c r="B777" s="4"/>
    </row>
    <row r="778" spans="1:2" x14ac:dyDescent="0.25">
      <c r="A778" s="4"/>
      <c r="B778" s="4"/>
    </row>
    <row r="779" spans="1:2" x14ac:dyDescent="0.25">
      <c r="A779" s="4"/>
      <c r="B779" s="4"/>
    </row>
    <row r="780" spans="1:2" x14ac:dyDescent="0.25">
      <c r="A780" s="4"/>
      <c r="B780" s="4"/>
    </row>
    <row r="781" spans="1:2" x14ac:dyDescent="0.25">
      <c r="A781" s="4"/>
      <c r="B781" s="4"/>
    </row>
    <row r="782" spans="1:2" x14ac:dyDescent="0.25">
      <c r="A782" s="4"/>
      <c r="B782" s="4"/>
    </row>
    <row r="783" spans="1:2" x14ac:dyDescent="0.25">
      <c r="A783" s="4"/>
      <c r="B783" s="4"/>
    </row>
    <row r="784" spans="1:2" x14ac:dyDescent="0.25">
      <c r="A784" s="4"/>
      <c r="B784" s="4"/>
    </row>
    <row r="785" spans="1:2" x14ac:dyDescent="0.25">
      <c r="A785" s="4"/>
      <c r="B785" s="4"/>
    </row>
    <row r="786" spans="1:2" x14ac:dyDescent="0.25">
      <c r="A786" s="4"/>
      <c r="B786" s="4"/>
    </row>
    <row r="787" spans="1:2" x14ac:dyDescent="0.25">
      <c r="A787" s="4"/>
      <c r="B787" s="4"/>
    </row>
    <row r="788" spans="1:2" x14ac:dyDescent="0.25">
      <c r="A788" s="4"/>
      <c r="B788" s="4"/>
    </row>
    <row r="789" spans="1:2" x14ac:dyDescent="0.25">
      <c r="A789" s="4"/>
      <c r="B789" s="4"/>
    </row>
    <row r="790" spans="1:2" x14ac:dyDescent="0.25">
      <c r="A790" s="4"/>
      <c r="B790" s="4"/>
    </row>
    <row r="791" spans="1:2" x14ac:dyDescent="0.25">
      <c r="A791" s="4"/>
      <c r="B791" s="4"/>
    </row>
    <row r="792" spans="1:2" x14ac:dyDescent="0.25">
      <c r="A792" s="4"/>
      <c r="B792" s="4"/>
    </row>
    <row r="793" spans="1:2" x14ac:dyDescent="0.25">
      <c r="A793" s="4"/>
      <c r="B793" s="4"/>
    </row>
    <row r="794" spans="1:2" x14ac:dyDescent="0.25">
      <c r="A794" s="4"/>
      <c r="B794" s="4"/>
    </row>
    <row r="795" spans="1:2" x14ac:dyDescent="0.25">
      <c r="A795" s="4"/>
      <c r="B795" s="4"/>
    </row>
    <row r="796" spans="1:2" x14ac:dyDescent="0.25">
      <c r="A796" s="4"/>
      <c r="B796" s="4"/>
    </row>
    <row r="797" spans="1:2" x14ac:dyDescent="0.25">
      <c r="A797" s="4"/>
      <c r="B797" s="4"/>
    </row>
    <row r="798" spans="1:2" x14ac:dyDescent="0.25">
      <c r="A798" s="4"/>
      <c r="B798" s="4"/>
    </row>
    <row r="799" spans="1:2" x14ac:dyDescent="0.25">
      <c r="A799" s="4"/>
      <c r="B799" s="4"/>
    </row>
    <row r="800" spans="1:2" x14ac:dyDescent="0.25">
      <c r="A800" s="4"/>
      <c r="B800" s="4"/>
    </row>
    <row r="801" spans="1:2" x14ac:dyDescent="0.25">
      <c r="A801" s="4"/>
      <c r="B801" s="4"/>
    </row>
    <row r="802" spans="1:2" x14ac:dyDescent="0.25">
      <c r="A802" s="4"/>
      <c r="B802" s="4"/>
    </row>
    <row r="803" spans="1:2" x14ac:dyDescent="0.25">
      <c r="A803" s="4"/>
      <c r="B803" s="4"/>
    </row>
    <row r="804" spans="1:2" x14ac:dyDescent="0.25">
      <c r="A804" s="4"/>
      <c r="B804" s="4"/>
    </row>
    <row r="805" spans="1:2" x14ac:dyDescent="0.25">
      <c r="A805" s="4"/>
      <c r="B805" s="4"/>
    </row>
    <row r="806" spans="1:2" x14ac:dyDescent="0.25">
      <c r="A806" s="4"/>
      <c r="B806" s="4"/>
    </row>
    <row r="807" spans="1:2" x14ac:dyDescent="0.25">
      <c r="A807" s="4"/>
      <c r="B807" s="4"/>
    </row>
    <row r="808" spans="1:2" x14ac:dyDescent="0.25">
      <c r="A808" s="4"/>
      <c r="B808" s="4"/>
    </row>
    <row r="809" spans="1:2" x14ac:dyDescent="0.25">
      <c r="A809" s="4"/>
      <c r="B809" s="4"/>
    </row>
    <row r="810" spans="1:2" x14ac:dyDescent="0.25">
      <c r="A810" s="4"/>
      <c r="B810" s="4"/>
    </row>
    <row r="811" spans="1:2" x14ac:dyDescent="0.25">
      <c r="A811" s="4"/>
      <c r="B811" s="4"/>
    </row>
    <row r="812" spans="1:2" x14ac:dyDescent="0.25">
      <c r="A812" s="4"/>
      <c r="B812" s="4"/>
    </row>
    <row r="813" spans="1:2" x14ac:dyDescent="0.25">
      <c r="A813" s="4"/>
      <c r="B813" s="4"/>
    </row>
    <row r="814" spans="1:2" x14ac:dyDescent="0.25">
      <c r="A814" s="4"/>
      <c r="B814" s="4"/>
    </row>
    <row r="815" spans="1:2" x14ac:dyDescent="0.25">
      <c r="A815" s="4"/>
      <c r="B815" s="4"/>
    </row>
    <row r="816" spans="1:2" x14ac:dyDescent="0.25">
      <c r="A816" s="4"/>
      <c r="B816" s="4"/>
    </row>
    <row r="817" spans="1:2" x14ac:dyDescent="0.25">
      <c r="A817" s="4"/>
      <c r="B817" s="4"/>
    </row>
    <row r="818" spans="1:2" x14ac:dyDescent="0.25">
      <c r="A818" s="4"/>
      <c r="B818" s="4"/>
    </row>
    <row r="819" spans="1:2" x14ac:dyDescent="0.25">
      <c r="A819" s="4"/>
      <c r="B819" s="4"/>
    </row>
    <row r="820" spans="1:2" x14ac:dyDescent="0.25">
      <c r="A820" s="4"/>
      <c r="B820" s="4"/>
    </row>
    <row r="821" spans="1:2" x14ac:dyDescent="0.25">
      <c r="A821" s="4"/>
      <c r="B821" s="4"/>
    </row>
    <row r="822" spans="1:2" x14ac:dyDescent="0.25">
      <c r="A822" s="4"/>
      <c r="B822" s="4"/>
    </row>
    <row r="823" spans="1:2" x14ac:dyDescent="0.25">
      <c r="A823" s="4"/>
      <c r="B823" s="4"/>
    </row>
    <row r="824" spans="1:2" x14ac:dyDescent="0.25">
      <c r="A824" s="4"/>
      <c r="B824" s="4"/>
    </row>
    <row r="825" spans="1:2" x14ac:dyDescent="0.25">
      <c r="A825" s="4"/>
      <c r="B825" s="4"/>
    </row>
    <row r="826" spans="1:2" x14ac:dyDescent="0.25">
      <c r="A826" s="4"/>
      <c r="B826" s="4"/>
    </row>
    <row r="827" spans="1:2" x14ac:dyDescent="0.25">
      <c r="A827" s="4"/>
      <c r="B827" s="4"/>
    </row>
    <row r="828" spans="1:2" x14ac:dyDescent="0.25">
      <c r="A828" s="4"/>
      <c r="B828" s="4"/>
    </row>
    <row r="829" spans="1:2" x14ac:dyDescent="0.25">
      <c r="A829" s="4"/>
      <c r="B829" s="4"/>
    </row>
    <row r="830" spans="1:2" x14ac:dyDescent="0.25">
      <c r="A830" s="4"/>
      <c r="B830" s="4"/>
    </row>
    <row r="831" spans="1:2" x14ac:dyDescent="0.25">
      <c r="A831" s="4"/>
      <c r="B831" s="4"/>
    </row>
    <row r="832" spans="1:2" x14ac:dyDescent="0.25">
      <c r="A832" s="4"/>
      <c r="B832" s="4"/>
    </row>
    <row r="833" spans="1:2" x14ac:dyDescent="0.25">
      <c r="A833" s="4"/>
      <c r="B833" s="4"/>
    </row>
    <row r="834" spans="1:2" x14ac:dyDescent="0.25">
      <c r="A834" s="4"/>
      <c r="B834" s="4"/>
    </row>
    <row r="835" spans="1:2" x14ac:dyDescent="0.25">
      <c r="A835" s="4"/>
      <c r="B835" s="4"/>
    </row>
    <row r="836" spans="1:2" x14ac:dyDescent="0.25">
      <c r="A836" s="4"/>
      <c r="B836" s="4"/>
    </row>
    <row r="837" spans="1:2" x14ac:dyDescent="0.25">
      <c r="A837" s="4"/>
      <c r="B837" s="4"/>
    </row>
    <row r="838" spans="1:2" x14ac:dyDescent="0.25">
      <c r="A838" s="4"/>
      <c r="B838" s="4"/>
    </row>
    <row r="839" spans="1:2" x14ac:dyDescent="0.25">
      <c r="A839" s="4"/>
      <c r="B839" s="4"/>
    </row>
    <row r="840" spans="1:2" x14ac:dyDescent="0.25">
      <c r="A840" s="4"/>
      <c r="B840" s="4"/>
    </row>
    <row r="841" spans="1:2" x14ac:dyDescent="0.25">
      <c r="A841" s="4"/>
      <c r="B841" s="4"/>
    </row>
    <row r="842" spans="1:2" x14ac:dyDescent="0.25">
      <c r="A842" s="4"/>
      <c r="B842" s="4"/>
    </row>
    <row r="843" spans="1:2" x14ac:dyDescent="0.25">
      <c r="A843" s="4"/>
      <c r="B843" s="4"/>
    </row>
    <row r="844" spans="1:2" x14ac:dyDescent="0.25">
      <c r="A844" s="4"/>
      <c r="B844" s="4"/>
    </row>
    <row r="845" spans="1:2" x14ac:dyDescent="0.25">
      <c r="A845" s="4"/>
      <c r="B845" s="4"/>
    </row>
    <row r="846" spans="1:2" x14ac:dyDescent="0.25">
      <c r="A846" s="4"/>
      <c r="B846" s="4"/>
    </row>
    <row r="847" spans="1:2" x14ac:dyDescent="0.25">
      <c r="A847" s="4"/>
      <c r="B847" s="4"/>
    </row>
    <row r="848" spans="1:2" x14ac:dyDescent="0.25">
      <c r="A848" s="4"/>
      <c r="B848" s="4"/>
    </row>
    <row r="849" spans="1:2" x14ac:dyDescent="0.25">
      <c r="A849" s="4"/>
      <c r="B849" s="4"/>
    </row>
    <row r="850" spans="1:2" x14ac:dyDescent="0.25">
      <c r="A850" s="4"/>
      <c r="B850" s="4"/>
    </row>
    <row r="851" spans="1:2" x14ac:dyDescent="0.25">
      <c r="A851" s="4"/>
      <c r="B851" s="4"/>
    </row>
    <row r="852" spans="1:2" x14ac:dyDescent="0.25">
      <c r="A852" s="4"/>
      <c r="B852" s="4"/>
    </row>
    <row r="853" spans="1:2" x14ac:dyDescent="0.25">
      <c r="A853" s="4"/>
      <c r="B853" s="4"/>
    </row>
    <row r="854" spans="1:2" x14ac:dyDescent="0.25">
      <c r="A854" s="4"/>
      <c r="B854" s="4"/>
    </row>
    <row r="855" spans="1:2" x14ac:dyDescent="0.25">
      <c r="A855" s="4"/>
      <c r="B855" s="4"/>
    </row>
    <row r="856" spans="1:2" x14ac:dyDescent="0.25">
      <c r="A856" s="4"/>
      <c r="B856" s="4"/>
    </row>
    <row r="857" spans="1:2" x14ac:dyDescent="0.25">
      <c r="A857" s="4"/>
      <c r="B857" s="4"/>
    </row>
    <row r="858" spans="1:2" x14ac:dyDescent="0.25">
      <c r="A858" s="4"/>
      <c r="B858" s="4"/>
    </row>
    <row r="859" spans="1:2" x14ac:dyDescent="0.25">
      <c r="A859" s="4"/>
      <c r="B859" s="4"/>
    </row>
    <row r="860" spans="1:2" x14ac:dyDescent="0.25">
      <c r="A860" s="4"/>
      <c r="B860" s="4"/>
    </row>
    <row r="861" spans="1:2" x14ac:dyDescent="0.25">
      <c r="A861" s="4"/>
      <c r="B861" s="4"/>
    </row>
    <row r="862" spans="1:2" x14ac:dyDescent="0.25">
      <c r="A862" s="4"/>
      <c r="B862" s="4"/>
    </row>
    <row r="863" spans="1:2" x14ac:dyDescent="0.25">
      <c r="A863" s="4"/>
      <c r="B863" s="4"/>
    </row>
    <row r="864" spans="1:2" x14ac:dyDescent="0.25">
      <c r="A864" s="4"/>
      <c r="B864" s="4"/>
    </row>
    <row r="865" spans="1:2" x14ac:dyDescent="0.25">
      <c r="A865" s="4"/>
      <c r="B865" s="4"/>
    </row>
    <row r="866" spans="1:2" x14ac:dyDescent="0.25">
      <c r="A866" s="4"/>
      <c r="B866" s="4"/>
    </row>
    <row r="867" spans="1:2" x14ac:dyDescent="0.25">
      <c r="A867" s="4"/>
      <c r="B867" s="4"/>
    </row>
    <row r="868" spans="1:2" x14ac:dyDescent="0.25">
      <c r="A868" s="4"/>
      <c r="B868" s="4"/>
    </row>
    <row r="869" spans="1:2" x14ac:dyDescent="0.25">
      <c r="A869" s="4"/>
      <c r="B869" s="4"/>
    </row>
    <row r="870" spans="1:2" x14ac:dyDescent="0.25">
      <c r="A870" s="4"/>
      <c r="B870" s="4"/>
    </row>
    <row r="871" spans="1:2" x14ac:dyDescent="0.25">
      <c r="A871" s="4"/>
      <c r="B871" s="4"/>
    </row>
    <row r="872" spans="1:2" x14ac:dyDescent="0.25">
      <c r="A872" s="4"/>
      <c r="B872" s="4"/>
    </row>
    <row r="873" spans="1:2" x14ac:dyDescent="0.25">
      <c r="A873" s="4"/>
      <c r="B873" s="4"/>
    </row>
    <row r="874" spans="1:2" x14ac:dyDescent="0.25">
      <c r="A874" s="4"/>
      <c r="B874" s="4"/>
    </row>
    <row r="875" spans="1:2" x14ac:dyDescent="0.25">
      <c r="A875" s="4"/>
      <c r="B875" s="4"/>
    </row>
    <row r="876" spans="1:2" x14ac:dyDescent="0.25">
      <c r="A876" s="4"/>
      <c r="B876" s="4"/>
    </row>
    <row r="877" spans="1:2" x14ac:dyDescent="0.25">
      <c r="A877" s="4"/>
      <c r="B877" s="4"/>
    </row>
    <row r="878" spans="1:2" x14ac:dyDescent="0.25">
      <c r="A878" s="4"/>
      <c r="B878" s="4"/>
    </row>
    <row r="879" spans="1:2" x14ac:dyDescent="0.25">
      <c r="A879" s="4"/>
      <c r="B879" s="4"/>
    </row>
    <row r="880" spans="1:2" x14ac:dyDescent="0.25">
      <c r="A880" s="4"/>
      <c r="B880" s="4"/>
    </row>
    <row r="881" spans="1:2" x14ac:dyDescent="0.25">
      <c r="A881" s="4"/>
      <c r="B881" s="4"/>
    </row>
    <row r="882" spans="1:2" x14ac:dyDescent="0.25">
      <c r="A882" s="4"/>
      <c r="B882" s="4"/>
    </row>
    <row r="883" spans="1:2" x14ac:dyDescent="0.25">
      <c r="A883" s="4"/>
      <c r="B883" s="4"/>
    </row>
    <row r="884" spans="1:2" x14ac:dyDescent="0.25">
      <c r="A884" s="4"/>
      <c r="B884" s="4"/>
    </row>
    <row r="885" spans="1:2" x14ac:dyDescent="0.25">
      <c r="A885" s="4"/>
      <c r="B885" s="4"/>
    </row>
    <row r="886" spans="1:2" x14ac:dyDescent="0.25">
      <c r="A886" s="4"/>
      <c r="B886" s="4"/>
    </row>
    <row r="887" spans="1:2" x14ac:dyDescent="0.25">
      <c r="A887" s="4"/>
      <c r="B887" s="4"/>
    </row>
    <row r="888" spans="1:2" x14ac:dyDescent="0.25">
      <c r="A888" s="4"/>
      <c r="B888" s="4"/>
    </row>
    <row r="889" spans="1:2" x14ac:dyDescent="0.25">
      <c r="A889" s="4"/>
      <c r="B889" s="4"/>
    </row>
    <row r="890" spans="1:2" x14ac:dyDescent="0.25">
      <c r="A890" s="4"/>
      <c r="B890" s="4"/>
    </row>
    <row r="891" spans="1:2" x14ac:dyDescent="0.25">
      <c r="A891" s="4"/>
      <c r="B891" s="4"/>
    </row>
    <row r="892" spans="1:2" x14ac:dyDescent="0.25">
      <c r="A892" s="4"/>
      <c r="B892" s="4"/>
    </row>
    <row r="893" spans="1:2" x14ac:dyDescent="0.25">
      <c r="A893" s="4"/>
      <c r="B893" s="4"/>
    </row>
    <row r="894" spans="1:2" x14ac:dyDescent="0.25">
      <c r="A894" s="4"/>
      <c r="B894" s="4"/>
    </row>
    <row r="895" spans="1:2" x14ac:dyDescent="0.25">
      <c r="A895" s="4"/>
      <c r="B895" s="4"/>
    </row>
    <row r="896" spans="1:2" x14ac:dyDescent="0.25">
      <c r="A896" s="4"/>
      <c r="B896" s="4"/>
    </row>
    <row r="897" spans="1:2" x14ac:dyDescent="0.25">
      <c r="A897" s="4"/>
      <c r="B897" s="4"/>
    </row>
    <row r="898" spans="1:2" x14ac:dyDescent="0.25">
      <c r="A898" s="4"/>
      <c r="B898" s="4"/>
    </row>
    <row r="899" spans="1:2" x14ac:dyDescent="0.25">
      <c r="A899" s="4"/>
      <c r="B899" s="4"/>
    </row>
    <row r="900" spans="1:2" x14ac:dyDescent="0.25">
      <c r="A900" s="4"/>
      <c r="B900" s="4"/>
    </row>
    <row r="901" spans="1:2" x14ac:dyDescent="0.25">
      <c r="A901" s="4"/>
      <c r="B901" s="4"/>
    </row>
    <row r="902" spans="1:2" x14ac:dyDescent="0.25">
      <c r="A902" s="4"/>
      <c r="B902" s="4"/>
    </row>
    <row r="903" spans="1:2" x14ac:dyDescent="0.25">
      <c r="A903" s="4"/>
      <c r="B903" s="4"/>
    </row>
    <row r="904" spans="1:2" x14ac:dyDescent="0.25">
      <c r="A904" s="4"/>
      <c r="B904" s="4"/>
    </row>
    <row r="905" spans="1:2" x14ac:dyDescent="0.25">
      <c r="A905" s="4"/>
      <c r="B905" s="4"/>
    </row>
    <row r="906" spans="1:2" x14ac:dyDescent="0.25">
      <c r="A906" s="4"/>
      <c r="B906" s="4"/>
    </row>
    <row r="907" spans="1:2" x14ac:dyDescent="0.25">
      <c r="A907" s="4"/>
      <c r="B907" s="4"/>
    </row>
    <row r="908" spans="1:2" x14ac:dyDescent="0.25">
      <c r="A908" s="4"/>
      <c r="B908" s="4"/>
    </row>
    <row r="909" spans="1:2" x14ac:dyDescent="0.25">
      <c r="A909" s="4"/>
      <c r="B909" s="4"/>
    </row>
    <row r="910" spans="1:2" x14ac:dyDescent="0.25">
      <c r="A910" s="4"/>
      <c r="B910" s="4"/>
    </row>
    <row r="911" spans="1:2" x14ac:dyDescent="0.25">
      <c r="A911" s="4"/>
      <c r="B911" s="4"/>
    </row>
    <row r="912" spans="1:2" x14ac:dyDescent="0.25">
      <c r="A912" s="4"/>
      <c r="B912" s="4"/>
    </row>
    <row r="913" spans="1:2" x14ac:dyDescent="0.25">
      <c r="A913" s="4"/>
      <c r="B913" s="4"/>
    </row>
    <row r="914" spans="1:2" x14ac:dyDescent="0.25">
      <c r="A914" s="4"/>
      <c r="B914" s="4"/>
    </row>
    <row r="915" spans="1:2" x14ac:dyDescent="0.25">
      <c r="A915" s="4"/>
      <c r="B915" s="4"/>
    </row>
    <row r="916" spans="1:2" x14ac:dyDescent="0.25">
      <c r="A916" s="4"/>
      <c r="B916" s="4"/>
    </row>
    <row r="917" spans="1:2" x14ac:dyDescent="0.25">
      <c r="A917" s="4"/>
      <c r="B917" s="4"/>
    </row>
    <row r="918" spans="1:2" x14ac:dyDescent="0.25">
      <c r="A918" s="4"/>
      <c r="B918" s="4"/>
    </row>
    <row r="919" spans="1:2" x14ac:dyDescent="0.25">
      <c r="A919" s="4"/>
      <c r="B919" s="4"/>
    </row>
    <row r="920" spans="1:2" x14ac:dyDescent="0.25">
      <c r="A920" s="4"/>
      <c r="B920" s="4"/>
    </row>
    <row r="921" spans="1:2" x14ac:dyDescent="0.25">
      <c r="A921" s="4"/>
      <c r="B921" s="4"/>
    </row>
    <row r="922" spans="1:2" x14ac:dyDescent="0.25">
      <c r="A922" s="4"/>
      <c r="B922" s="4"/>
    </row>
    <row r="923" spans="1:2" x14ac:dyDescent="0.25">
      <c r="A923" s="4"/>
      <c r="B923" s="4"/>
    </row>
    <row r="924" spans="1:2" x14ac:dyDescent="0.25">
      <c r="A924" s="4"/>
      <c r="B924" s="4"/>
    </row>
    <row r="925" spans="1:2" x14ac:dyDescent="0.25">
      <c r="A925" s="4"/>
      <c r="B925" s="4"/>
    </row>
    <row r="926" spans="1:2" x14ac:dyDescent="0.25">
      <c r="A926" s="4"/>
      <c r="B926" s="4"/>
    </row>
    <row r="927" spans="1:2" x14ac:dyDescent="0.25">
      <c r="A927" s="4"/>
      <c r="B927" s="4"/>
    </row>
    <row r="928" spans="1:2" x14ac:dyDescent="0.25">
      <c r="A928" s="4"/>
      <c r="B928" s="4"/>
    </row>
    <row r="929" spans="1:2" x14ac:dyDescent="0.25">
      <c r="A929" s="4"/>
      <c r="B929" s="4"/>
    </row>
    <row r="930" spans="1:2" x14ac:dyDescent="0.25">
      <c r="A930" s="4"/>
      <c r="B930" s="4"/>
    </row>
    <row r="931" spans="1:2" x14ac:dyDescent="0.25">
      <c r="A931" s="4"/>
      <c r="B931" s="4"/>
    </row>
    <row r="932" spans="1:2" x14ac:dyDescent="0.25">
      <c r="A932" s="4"/>
      <c r="B932" s="4"/>
    </row>
    <row r="933" spans="1:2" x14ac:dyDescent="0.25">
      <c r="A933" s="4"/>
      <c r="B933" s="4"/>
    </row>
    <row r="934" spans="1:2" x14ac:dyDescent="0.25">
      <c r="A934" s="4"/>
      <c r="B934" s="4"/>
    </row>
    <row r="935" spans="1:2" x14ac:dyDescent="0.25">
      <c r="A935" s="4"/>
      <c r="B935" s="4"/>
    </row>
    <row r="936" spans="1:2" x14ac:dyDescent="0.25">
      <c r="A936" s="4"/>
      <c r="B936" s="4"/>
    </row>
    <row r="937" spans="1:2" x14ac:dyDescent="0.25">
      <c r="A937" s="4"/>
      <c r="B937" s="4"/>
    </row>
    <row r="938" spans="1:2" x14ac:dyDescent="0.25">
      <c r="A938" s="4"/>
      <c r="B938" s="4"/>
    </row>
    <row r="939" spans="1:2" x14ac:dyDescent="0.25">
      <c r="A939" s="4"/>
      <c r="B939" s="4"/>
    </row>
    <row r="940" spans="1:2" x14ac:dyDescent="0.25">
      <c r="A940" s="4"/>
      <c r="B940" s="4"/>
    </row>
    <row r="941" spans="1:2" x14ac:dyDescent="0.25">
      <c r="A941" s="4"/>
      <c r="B941" s="4"/>
    </row>
    <row r="942" spans="1:2" x14ac:dyDescent="0.25">
      <c r="A942" s="4"/>
      <c r="B942" s="4"/>
    </row>
    <row r="943" spans="1:2" x14ac:dyDescent="0.25">
      <c r="A943" s="4"/>
      <c r="B943" s="4"/>
    </row>
    <row r="944" spans="1:2" x14ac:dyDescent="0.25">
      <c r="A944" s="4"/>
      <c r="B944" s="4"/>
    </row>
    <row r="945" spans="1:2" x14ac:dyDescent="0.25">
      <c r="A945" s="4"/>
      <c r="B945" s="4"/>
    </row>
    <row r="946" spans="1:2" x14ac:dyDescent="0.25">
      <c r="A946" s="4"/>
      <c r="B946" s="4"/>
    </row>
    <row r="947" spans="1:2" x14ac:dyDescent="0.25">
      <c r="A947" s="4"/>
      <c r="B947" s="4"/>
    </row>
    <row r="948" spans="1:2" x14ac:dyDescent="0.25">
      <c r="A948" s="4"/>
      <c r="B948" s="4"/>
    </row>
    <row r="949" spans="1:2" x14ac:dyDescent="0.25">
      <c r="A949" s="4"/>
      <c r="B949" s="4"/>
    </row>
    <row r="950" spans="1:2" x14ac:dyDescent="0.25">
      <c r="A950" s="4"/>
      <c r="B950" s="4"/>
    </row>
    <row r="951" spans="1:2" x14ac:dyDescent="0.25">
      <c r="A951" s="4"/>
      <c r="B951" s="4"/>
    </row>
    <row r="952" spans="1:2" x14ac:dyDescent="0.25">
      <c r="A952" s="4"/>
      <c r="B952" s="4"/>
    </row>
    <row r="953" spans="1:2" x14ac:dyDescent="0.25">
      <c r="A953" s="4"/>
      <c r="B953" s="4"/>
    </row>
    <row r="954" spans="1:2" x14ac:dyDescent="0.25">
      <c r="A954" s="4"/>
      <c r="B954" s="4"/>
    </row>
    <row r="955" spans="1:2" x14ac:dyDescent="0.25">
      <c r="A955" s="4"/>
      <c r="B955" s="4"/>
    </row>
    <row r="956" spans="1:2" x14ac:dyDescent="0.25">
      <c r="A956" s="4"/>
      <c r="B956" s="4"/>
    </row>
    <row r="957" spans="1:2" x14ac:dyDescent="0.25">
      <c r="A957" s="4"/>
      <c r="B957" s="4"/>
    </row>
    <row r="958" spans="1:2" x14ac:dyDescent="0.25">
      <c r="A958" s="4"/>
      <c r="B958" s="4"/>
    </row>
    <row r="959" spans="1:2" x14ac:dyDescent="0.25">
      <c r="A959" s="4"/>
      <c r="B959" s="4"/>
    </row>
    <row r="960" spans="1:2" x14ac:dyDescent="0.25">
      <c r="A960" s="4"/>
      <c r="B960" s="4"/>
    </row>
    <row r="961" spans="1:2" x14ac:dyDescent="0.25">
      <c r="A961" s="4"/>
      <c r="B961" s="4"/>
    </row>
    <row r="962" spans="1:2" x14ac:dyDescent="0.25">
      <c r="A962" s="4"/>
      <c r="B962" s="4"/>
    </row>
    <row r="963" spans="1:2" x14ac:dyDescent="0.25">
      <c r="A963" s="4"/>
      <c r="B963" s="4"/>
    </row>
    <row r="964" spans="1:2" x14ac:dyDescent="0.25">
      <c r="A964" s="4"/>
      <c r="B964" s="4"/>
    </row>
    <row r="965" spans="1:2" x14ac:dyDescent="0.25">
      <c r="A965" s="4"/>
      <c r="B965" s="4"/>
    </row>
    <row r="966" spans="1:2" x14ac:dyDescent="0.25">
      <c r="A966" s="4"/>
      <c r="B966" s="4"/>
    </row>
    <row r="967" spans="1:2" x14ac:dyDescent="0.25">
      <c r="A967" s="4"/>
      <c r="B967" s="4"/>
    </row>
    <row r="968" spans="1:2" x14ac:dyDescent="0.25">
      <c r="A968" s="4"/>
      <c r="B968" s="4"/>
    </row>
    <row r="969" spans="1:2" x14ac:dyDescent="0.25">
      <c r="A969" s="4"/>
      <c r="B969" s="4"/>
    </row>
    <row r="970" spans="1:2" x14ac:dyDescent="0.25">
      <c r="A970" s="4"/>
      <c r="B970" s="4"/>
    </row>
    <row r="971" spans="1:2" x14ac:dyDescent="0.25">
      <c r="A971" s="4"/>
      <c r="B971" s="4"/>
    </row>
    <row r="972" spans="1:2" x14ac:dyDescent="0.25">
      <c r="A972" s="4"/>
      <c r="B972" s="4"/>
    </row>
    <row r="973" spans="1:2" x14ac:dyDescent="0.25">
      <c r="A973" s="4"/>
      <c r="B973" s="4"/>
    </row>
    <row r="974" spans="1:2" x14ac:dyDescent="0.25">
      <c r="A974" s="4"/>
      <c r="B974" s="4"/>
    </row>
    <row r="975" spans="1:2" x14ac:dyDescent="0.25">
      <c r="A975" s="4"/>
      <c r="B975" s="4"/>
    </row>
    <row r="976" spans="1:2" x14ac:dyDescent="0.25">
      <c r="A976" s="4"/>
      <c r="B976" s="4"/>
    </row>
    <row r="977" spans="1:2" x14ac:dyDescent="0.25">
      <c r="A977" s="4"/>
      <c r="B977" s="4"/>
    </row>
    <row r="978" spans="1:2" x14ac:dyDescent="0.25">
      <c r="A978" s="4"/>
      <c r="B978" s="4"/>
    </row>
    <row r="979" spans="1:2" x14ac:dyDescent="0.25">
      <c r="A979" s="4"/>
      <c r="B979" s="4"/>
    </row>
    <row r="980" spans="1:2" x14ac:dyDescent="0.25">
      <c r="A980" s="4"/>
      <c r="B980" s="4"/>
    </row>
    <row r="981" spans="1:2" x14ac:dyDescent="0.25">
      <c r="A981" s="4"/>
      <c r="B981" s="4"/>
    </row>
    <row r="982" spans="1:2" x14ac:dyDescent="0.25">
      <c r="A982" s="4"/>
      <c r="B982" s="4"/>
    </row>
    <row r="983" spans="1:2" x14ac:dyDescent="0.25">
      <c r="A983" s="4"/>
      <c r="B983" s="4"/>
    </row>
    <row r="984" spans="1:2" x14ac:dyDescent="0.25">
      <c r="A984" s="4"/>
      <c r="B984" s="4"/>
    </row>
    <row r="985" spans="1:2" x14ac:dyDescent="0.25">
      <c r="A985" s="4"/>
      <c r="B985" s="4"/>
    </row>
    <row r="986" spans="1:2" x14ac:dyDescent="0.25">
      <c r="A986" s="4"/>
      <c r="B986" s="4"/>
    </row>
    <row r="987" spans="1:2" x14ac:dyDescent="0.25">
      <c r="A987" s="4"/>
      <c r="B987" s="4"/>
    </row>
    <row r="988" spans="1:2" x14ac:dyDescent="0.25">
      <c r="A988" s="4"/>
      <c r="B988" s="4"/>
    </row>
    <row r="989" spans="1:2" x14ac:dyDescent="0.25">
      <c r="A989" s="4"/>
      <c r="B989" s="4"/>
    </row>
    <row r="990" spans="1:2" x14ac:dyDescent="0.25">
      <c r="A990" s="4"/>
      <c r="B990" s="4"/>
    </row>
    <row r="991" spans="1:2" x14ac:dyDescent="0.25">
      <c r="A991" s="4"/>
      <c r="B991" s="4"/>
    </row>
    <row r="992" spans="1:2" x14ac:dyDescent="0.25">
      <c r="A992" s="4"/>
      <c r="B992" s="4"/>
    </row>
    <row r="993" spans="1:2" x14ac:dyDescent="0.25">
      <c r="A993" s="4"/>
      <c r="B993" s="4"/>
    </row>
    <row r="994" spans="1:2" x14ac:dyDescent="0.25">
      <c r="A994" s="4"/>
      <c r="B994" s="4"/>
    </row>
    <row r="995" spans="1:2" x14ac:dyDescent="0.25">
      <c r="A995" s="4"/>
      <c r="B995" s="4"/>
    </row>
    <row r="996" spans="1:2" x14ac:dyDescent="0.25">
      <c r="A996" s="4"/>
      <c r="B996" s="4"/>
    </row>
    <row r="997" spans="1:2" x14ac:dyDescent="0.25">
      <c r="A997" s="4"/>
      <c r="B997" s="4"/>
    </row>
    <row r="998" spans="1:2" x14ac:dyDescent="0.25">
      <c r="A998" s="4"/>
      <c r="B998" s="4"/>
    </row>
    <row r="999" spans="1:2" x14ac:dyDescent="0.25">
      <c r="A999" s="4"/>
      <c r="B999" s="4"/>
    </row>
    <row r="1000" spans="1:2" x14ac:dyDescent="0.25">
      <c r="A1000" s="4"/>
      <c r="B1000" s="4"/>
    </row>
  </sheetData>
  <hyperlinks>
    <hyperlink ref="B9" location="'HelpNotes'!B2" display="HelpNotes" xr:uid="{98D0F6C9-31F8-4115-9E19-20A7E422460F}"/>
    <hyperlink ref="B10" location="'WS_Navigation'!B2" display="WS_Navigation" xr:uid="{D84F9F21-B462-4540-810B-5B1A61779EB9}"/>
    <hyperlink ref="B11" location="'MainMenu'!B2" display="MainMenu" xr:uid="{737E6E03-FA12-48D2-A595-3EA82DBCE4B2}"/>
    <hyperlink ref="B12" location="'1_OrbDefCalc'!B2" display="1_OrbDefCalc" xr:uid="{28A0E165-A3A7-4A19-AAF7-5BA23F684984}"/>
    <hyperlink ref="B13" location="'2_ParmPoint'!B2" display="2_ParmPoint" xr:uid="{AE097C40-2E92-4498-9D88-E623F1532522}"/>
    <hyperlink ref="B14" location="'3_GndTrack'!B2" display="3_GndTrack" xr:uid="{3DBE0A1A-11D9-4117-8E68-DA0664204CE9}"/>
    <hyperlink ref="B15" location="'4_PlanePertur'!B2" display="4_PlanePertur" xr:uid="{760FCBD0-3EB2-4815-A855-156E4D3BE40C}"/>
    <hyperlink ref="B16" location="'5_Utilities'!B2" display="5_Utilities" xr:uid="{0802BB86-D71E-4530-B017-1152C03E134F}"/>
    <hyperlink ref="B17" location="'6_MissionPlan'!B2" display="6_MissionPlan" xr:uid="{C876BAD6-4F8A-46DF-8626-6E9E55C3EF2B}"/>
    <hyperlink ref="B18" location="'EphemTbls'!B2" display="EphemTbls" xr:uid="{80E46834-1739-410E-B84E-AEE90C9F33B6}"/>
    <hyperlink ref="B19" location="'msnReport1'!B2" display="msnReport1" xr:uid="{2A70C3E2-72A7-4D6E-9E31-16884C09B23D}"/>
    <hyperlink ref="B20" location="'AstroConstants'!B2" display="AstroConstants" xr:uid="{B4FC5AC3-AC7A-4877-88A0-6392FF6485CD}"/>
    <hyperlink ref="B21" location="'UseCases'!B2" display="UseCases" xr:uid="{7AA785F4-74AD-4C39-9461-1397FBEAF07D}"/>
    <hyperlink ref="B22" location="'M_Macros'!B2" display="M_Macros" xr:uid="{392ADE19-C7DD-4FD4-8B6E-ED5FE7CDEA41}"/>
  </hyperlink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1]!lwsTOC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38100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8A711-3223-45F4-81E6-5359FD6105CE}">
  <sheetPr codeName="Sheet4"/>
  <dimension ref="A1:D20"/>
  <sheetViews>
    <sheetView zoomScale="80" zoomScaleNormal="80" workbookViewId="0"/>
  </sheetViews>
  <sheetFormatPr defaultRowHeight="12.75" x14ac:dyDescent="0.25"/>
  <cols>
    <col min="1" max="1" width="6.7109375" style="3" customWidth="1"/>
    <col min="2" max="2" width="32.42578125" style="3" customWidth="1"/>
    <col min="3" max="3" width="11.7109375" style="3" customWidth="1"/>
    <col min="4" max="4" width="10.7109375" style="3" customWidth="1"/>
    <col min="5" max="16384" width="9.140625" style="3"/>
  </cols>
  <sheetData>
    <row r="1" spans="1:4" x14ac:dyDescent="0.25">
      <c r="A1" s="2" t="s">
        <v>1</v>
      </c>
      <c r="B1" s="1" t="s">
        <v>0</v>
      </c>
    </row>
    <row r="2" spans="1:4" x14ac:dyDescent="0.25">
      <c r="A2" s="2" t="s">
        <v>2</v>
      </c>
      <c r="B2" s="2" t="s">
        <v>54</v>
      </c>
    </row>
    <row r="3" spans="1:4" x14ac:dyDescent="0.25">
      <c r="A3" s="2" t="s">
        <v>3</v>
      </c>
      <c r="B3" s="53" t="str">
        <f>HYPERLINK("..\Maple\OrbitalMech\SpreadsheetFiles\OrbitTools(jb1).xlsm","Orbital Tools")</f>
        <v>Orbital Tools</v>
      </c>
      <c r="C3" s="3" t="s">
        <v>14</v>
      </c>
    </row>
    <row r="5" spans="1:4" x14ac:dyDescent="0.25">
      <c r="B5" s="10" t="s">
        <v>80</v>
      </c>
    </row>
    <row r="7" spans="1:4" x14ac:dyDescent="0.25">
      <c r="A7" s="3" t="s">
        <v>8</v>
      </c>
    </row>
    <row r="8" spans="1:4" x14ac:dyDescent="0.25">
      <c r="A8" s="4">
        <v>1</v>
      </c>
      <c r="B8" s="53" t="str">
        <f>HYPERLINK("#1_OrbDefCalc!A1","Orbit Definition &amp; Calculations")</f>
        <v>Orbit Definition &amp; Calculations</v>
      </c>
    </row>
    <row r="9" spans="1:4" x14ac:dyDescent="0.25">
      <c r="A9" s="4">
        <v>2</v>
      </c>
      <c r="B9" s="53" t="str">
        <f>HYPERLINK("#2_ParmPoint!A1","Parameters at a Point")</f>
        <v>Parameters at a Point</v>
      </c>
    </row>
    <row r="10" spans="1:4" x14ac:dyDescent="0.25">
      <c r="A10" s="4">
        <v>3</v>
      </c>
      <c r="B10" s="53" t="str">
        <f>HYPERLINK("#3_GndTrack!A1","Ground Track")</f>
        <v>Ground Track</v>
      </c>
    </row>
    <row r="11" spans="1:4" x14ac:dyDescent="0.25">
      <c r="A11" s="4">
        <v>4</v>
      </c>
      <c r="B11" s="53" t="str">
        <f>HYPERLINK("#4_PlanePertur!A1","Plane Change &amp; Pertabations")</f>
        <v>Plane Change &amp; Pertabations</v>
      </c>
    </row>
    <row r="12" spans="1:4" x14ac:dyDescent="0.25">
      <c r="A12" s="4">
        <v>5</v>
      </c>
      <c r="B12" s="53" t="str">
        <f>HYPERLINK("#5_Utilities!A1","Utilities")</f>
        <v>Utilities</v>
      </c>
    </row>
    <row r="13" spans="1:4" x14ac:dyDescent="0.25">
      <c r="A13" s="4">
        <v>6</v>
      </c>
      <c r="B13" s="53" t="str">
        <f>HYPERLINK("#6_MissionPlan!A1","Mission_Planning")</f>
        <v>Mission_Planning</v>
      </c>
    </row>
    <row r="14" spans="1:4" x14ac:dyDescent="0.25">
      <c r="A14" s="4"/>
    </row>
    <row r="15" spans="1:4" x14ac:dyDescent="0.25">
      <c r="A15" s="4"/>
      <c r="B15" s="3" t="s">
        <v>45</v>
      </c>
      <c r="C15" s="10" t="s">
        <v>88</v>
      </c>
      <c r="D15" s="39" t="s">
        <v>103</v>
      </c>
    </row>
    <row r="16" spans="1:4" x14ac:dyDescent="0.25">
      <c r="A16" s="4"/>
      <c r="B16" s="3" t="s">
        <v>46</v>
      </c>
      <c r="C16" s="10" t="s">
        <v>102</v>
      </c>
      <c r="D16" s="3" t="s">
        <v>101</v>
      </c>
    </row>
    <row r="17" spans="4:4" x14ac:dyDescent="0.25">
      <c r="D17" s="3" t="s">
        <v>102</v>
      </c>
    </row>
    <row r="18" spans="4:4" x14ac:dyDescent="0.25">
      <c r="D18" s="3" t="s">
        <v>98</v>
      </c>
    </row>
    <row r="19" spans="4:4" x14ac:dyDescent="0.25">
      <c r="D19" s="3" t="s">
        <v>99</v>
      </c>
    </row>
    <row r="20" spans="4:4" x14ac:dyDescent="0.25">
      <c r="D20" s="3" t="s">
        <v>100</v>
      </c>
    </row>
  </sheetData>
  <dataValidations count="1">
    <dataValidation type="list" allowBlank="1" showInputMessage="1" showErrorMessage="1" sqref="C16" xr:uid="{90476B31-736A-4FDE-8EC2-003D6D1A0167}">
      <formula1>$D$17:$D$20</formula1>
    </dataValidation>
  </dataValidations>
  <hyperlinks>
    <hyperlink ref="B1" location="WS_Navigation!B2" tooltip="go to navigation sheet" display="Navigate to Worksheet TOC (table of contents)" xr:uid="{9F21C21F-00C9-4F9F-995C-164CCFD441EF}"/>
  </hyperlinks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554860-EBD6-46EC-A221-F64DBAE9B722}">
          <x14:formula1>
            <xm:f>AstroConstants!$B$10:$B$20</xm:f>
          </x14:formula1>
          <xm:sqref>C15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DA8C-86C2-4C60-937D-15622DFF7742}">
  <sheetPr codeName="Sheet1"/>
  <dimension ref="A1:Q61"/>
  <sheetViews>
    <sheetView zoomScale="80" zoomScaleNormal="80" workbookViewId="0">
      <selection activeCell="B1" sqref="B1"/>
    </sheetView>
  </sheetViews>
  <sheetFormatPr defaultRowHeight="12.75" x14ac:dyDescent="0.25"/>
  <cols>
    <col min="1" max="1" width="6.7109375" style="3" customWidth="1"/>
    <col min="2" max="2" width="22.7109375" style="3" customWidth="1"/>
    <col min="3" max="3" width="11.7109375" style="3" customWidth="1"/>
    <col min="4" max="4" width="14.85546875" style="3" bestFit="1" customWidth="1"/>
    <col min="5" max="5" width="6.7109375" style="3" customWidth="1"/>
    <col min="6" max="6" width="2.7109375" style="3" customWidth="1"/>
    <col min="7" max="7" width="24.7109375" style="3" customWidth="1"/>
    <col min="8" max="8" width="6.7109375" style="3" customWidth="1"/>
    <col min="9" max="9" width="16.7109375" style="3" customWidth="1"/>
    <col min="10" max="10" width="9.140625" style="3"/>
    <col min="11" max="11" width="13" style="3" bestFit="1" customWidth="1"/>
    <col min="12" max="12" width="4.7109375" style="3" customWidth="1"/>
    <col min="13" max="13" width="12" style="3" bestFit="1" customWidth="1"/>
    <col min="14" max="14" width="4.7109375" style="3" customWidth="1"/>
    <col min="15" max="16" width="9.140625" style="3"/>
    <col min="17" max="17" width="2.7109375" style="3" customWidth="1"/>
    <col min="18" max="16384" width="9.140625" style="3"/>
  </cols>
  <sheetData>
    <row r="1" spans="1:17" x14ac:dyDescent="0.25">
      <c r="A1" s="2" t="s">
        <v>1</v>
      </c>
      <c r="B1" s="1" t="s">
        <v>0</v>
      </c>
    </row>
    <row r="2" spans="1:17" x14ac:dyDescent="0.25">
      <c r="A2" s="2" t="s">
        <v>2</v>
      </c>
      <c r="B2" s="2" t="s">
        <v>925</v>
      </c>
    </row>
    <row r="3" spans="1:17" x14ac:dyDescent="0.25">
      <c r="A3" s="2" t="s">
        <v>3</v>
      </c>
      <c r="B3" s="53" t="str">
        <f>HYPERLINK("..\Maple\OrbitalMech\SpreadsheetFiles\OrbitTools(jb1).xlsm","Orbital Tools")</f>
        <v>Orbital Tools</v>
      </c>
      <c r="C3" s="3" t="s">
        <v>14</v>
      </c>
    </row>
    <row r="4" spans="1:17" x14ac:dyDescent="0.25">
      <c r="A4" s="2"/>
      <c r="B4" s="53" t="str">
        <f>HYPERLINK("#MainMenu!B7","Main Menu")</f>
        <v>Main Menu</v>
      </c>
    </row>
    <row r="5" spans="1:17" x14ac:dyDescent="0.25">
      <c r="A5" s="2"/>
      <c r="B5" s="10" t="s">
        <v>80</v>
      </c>
    </row>
    <row r="6" spans="1:17" x14ac:dyDescent="0.25">
      <c r="B6" s="3" t="s">
        <v>45</v>
      </c>
      <c r="C6" s="3" t="str">
        <f>MainMenu!C15</f>
        <v>Venus</v>
      </c>
      <c r="D6" s="3" t="s">
        <v>79</v>
      </c>
    </row>
    <row r="7" spans="1:17" x14ac:dyDescent="0.25">
      <c r="B7" s="3" t="s">
        <v>46</v>
      </c>
      <c r="C7" s="3" t="str">
        <f>MainMenu!C16</f>
        <v>Elliptical</v>
      </c>
      <c r="D7" s="3" t="s">
        <v>79</v>
      </c>
    </row>
    <row r="9" spans="1:17" x14ac:dyDescent="0.25">
      <c r="B9" s="11" t="s">
        <v>47</v>
      </c>
      <c r="C9" s="12"/>
      <c r="D9" s="12"/>
      <c r="E9" s="13"/>
      <c r="G9" s="3" t="s">
        <v>109</v>
      </c>
      <c r="H9" s="3" t="s">
        <v>1329</v>
      </c>
    </row>
    <row r="10" spans="1:17" ht="13.5" thickBot="1" x14ac:dyDescent="0.3">
      <c r="A10" s="4" t="s">
        <v>8</v>
      </c>
      <c r="B10" s="14" t="s">
        <v>49</v>
      </c>
      <c r="C10" s="15"/>
      <c r="D10" s="15"/>
      <c r="E10" s="16"/>
      <c r="G10" s="17" t="s">
        <v>900</v>
      </c>
      <c r="H10" s="18"/>
      <c r="I10" s="18"/>
      <c r="J10" s="19"/>
      <c r="K10" s="40" t="s">
        <v>107</v>
      </c>
      <c r="L10" s="41"/>
      <c r="M10" s="41"/>
      <c r="N10" s="41"/>
      <c r="O10" s="41"/>
      <c r="P10" s="41"/>
    </row>
    <row r="11" spans="1:17" x14ac:dyDescent="0.25">
      <c r="A11" s="4">
        <v>1</v>
      </c>
      <c r="B11" s="20" t="s">
        <v>36</v>
      </c>
      <c r="C11" s="21" t="s">
        <v>24</v>
      </c>
      <c r="D11" s="34"/>
      <c r="E11" s="22" t="s">
        <v>43</v>
      </c>
      <c r="G11" s="42" t="s">
        <v>130</v>
      </c>
      <c r="H11" s="43" t="s">
        <v>86</v>
      </c>
      <c r="I11" s="43"/>
      <c r="J11" s="45"/>
    </row>
    <row r="12" spans="1:17" x14ac:dyDescent="0.25">
      <c r="A12" s="4">
        <v>2</v>
      </c>
      <c r="B12" s="23" t="s">
        <v>38</v>
      </c>
      <c r="C12" s="24" t="s">
        <v>25</v>
      </c>
      <c r="D12" s="35"/>
      <c r="E12" s="25" t="s">
        <v>43</v>
      </c>
      <c r="G12" s="20" t="s">
        <v>16</v>
      </c>
      <c r="H12" s="21" t="s">
        <v>28</v>
      </c>
      <c r="I12" s="21">
        <v>6.7780000000000002E-3</v>
      </c>
      <c r="J12" s="22"/>
      <c r="L12" s="4"/>
    </row>
    <row r="13" spans="1:17" x14ac:dyDescent="0.25">
      <c r="A13" s="4">
        <v>3</v>
      </c>
      <c r="B13" s="23" t="s">
        <v>35</v>
      </c>
      <c r="C13" s="24" t="s">
        <v>26</v>
      </c>
      <c r="D13" s="35"/>
      <c r="E13" s="25" t="s">
        <v>43</v>
      </c>
      <c r="G13" s="23" t="s">
        <v>17</v>
      </c>
      <c r="H13" s="24" t="s">
        <v>29</v>
      </c>
      <c r="I13" s="24">
        <v>108208900</v>
      </c>
      <c r="J13" s="25" t="s">
        <v>43</v>
      </c>
      <c r="K13" s="3" t="str">
        <f>IF($H13="p",CONVERT($I13,$J13,$L13),"")</f>
        <v/>
      </c>
      <c r="L13" s="4" t="s">
        <v>105</v>
      </c>
      <c r="M13" s="3" t="str">
        <f>IF($H13="p",CONVERT($I13,$J13,$N13),"")</f>
        <v/>
      </c>
      <c r="N13" s="3" t="s">
        <v>108</v>
      </c>
      <c r="O13" s="3" t="str">
        <f>IF($H13="p",CONVERT($I13,$J13,$P13),"")</f>
        <v/>
      </c>
      <c r="P13" s="3" t="s">
        <v>106</v>
      </c>
    </row>
    <row r="14" spans="1:17" x14ac:dyDescent="0.25">
      <c r="A14" s="4">
        <v>4</v>
      </c>
      <c r="B14" s="23" t="s">
        <v>37</v>
      </c>
      <c r="C14" s="24" t="s">
        <v>27</v>
      </c>
      <c r="D14" s="35"/>
      <c r="E14" s="25" t="s">
        <v>43</v>
      </c>
      <c r="G14" s="23"/>
      <c r="H14" s="24"/>
      <c r="I14" s="24"/>
      <c r="J14" s="25"/>
    </row>
    <row r="15" spans="1:17" x14ac:dyDescent="0.25">
      <c r="A15" s="4">
        <v>5</v>
      </c>
      <c r="B15" s="23" t="s">
        <v>16</v>
      </c>
      <c r="C15" s="24" t="s">
        <v>28</v>
      </c>
      <c r="D15" s="35">
        <v>6.7780000000000002E-3</v>
      </c>
      <c r="E15" s="25"/>
      <c r="G15" s="23"/>
      <c r="H15" s="24"/>
      <c r="I15" s="24"/>
      <c r="J15" s="25"/>
      <c r="Q15" s="48"/>
    </row>
    <row r="16" spans="1:17" x14ac:dyDescent="0.25">
      <c r="A16" s="4">
        <v>6</v>
      </c>
      <c r="B16" s="23" t="s">
        <v>17</v>
      </c>
      <c r="C16" s="24" t="s">
        <v>29</v>
      </c>
      <c r="D16" s="50">
        <v>108208900</v>
      </c>
      <c r="E16" s="25" t="s">
        <v>43</v>
      </c>
      <c r="G16" s="26" t="s">
        <v>901</v>
      </c>
      <c r="H16" s="27"/>
      <c r="I16" s="27"/>
      <c r="J16" s="28"/>
      <c r="Q16" s="48"/>
    </row>
    <row r="17" spans="1:17" x14ac:dyDescent="0.25">
      <c r="A17" s="4">
        <v>7</v>
      </c>
      <c r="B17" s="23" t="s">
        <v>48</v>
      </c>
      <c r="C17" s="24" t="s">
        <v>30</v>
      </c>
      <c r="D17" s="35"/>
      <c r="E17" s="25" t="s">
        <v>42</v>
      </c>
      <c r="G17" s="23" t="s">
        <v>35</v>
      </c>
      <c r="H17" s="24" t="s">
        <v>26</v>
      </c>
      <c r="I17" s="38">
        <v>107475460.0758</v>
      </c>
      <c r="J17" s="25" t="s">
        <v>43</v>
      </c>
      <c r="Q17" s="48"/>
    </row>
    <row r="18" spans="1:17" x14ac:dyDescent="0.25">
      <c r="A18" s="4">
        <v>8</v>
      </c>
      <c r="B18" s="26" t="s">
        <v>163</v>
      </c>
      <c r="C18" s="27"/>
      <c r="D18" s="27"/>
      <c r="E18" s="28"/>
      <c r="G18" s="23" t="s">
        <v>36</v>
      </c>
      <c r="H18" s="24" t="s">
        <v>24</v>
      </c>
      <c r="I18" s="38">
        <v>106779460.0758</v>
      </c>
      <c r="J18" s="25" t="s">
        <v>43</v>
      </c>
    </row>
    <row r="19" spans="1:17" x14ac:dyDescent="0.25">
      <c r="A19" s="4">
        <v>9</v>
      </c>
      <c r="B19" s="23" t="s">
        <v>21</v>
      </c>
      <c r="C19" s="24" t="s">
        <v>31</v>
      </c>
      <c r="D19" s="35"/>
      <c r="E19" s="25" t="s">
        <v>43</v>
      </c>
      <c r="G19" s="23" t="s">
        <v>127</v>
      </c>
      <c r="H19" s="24" t="s">
        <v>40</v>
      </c>
      <c r="I19" s="38">
        <v>35.258839899455836</v>
      </c>
      <c r="J19" s="25" t="s">
        <v>1005</v>
      </c>
      <c r="K19" s="63"/>
    </row>
    <row r="20" spans="1:17" x14ac:dyDescent="0.25">
      <c r="A20" s="4">
        <v>10</v>
      </c>
      <c r="B20" s="23" t="s">
        <v>18</v>
      </c>
      <c r="C20" s="24" t="s">
        <v>33</v>
      </c>
      <c r="D20" s="35"/>
      <c r="E20" s="25" t="s">
        <v>44</v>
      </c>
      <c r="G20" s="23" t="s">
        <v>37</v>
      </c>
      <c r="H20" s="24" t="s">
        <v>27</v>
      </c>
      <c r="I20" s="38">
        <v>108942339.9242</v>
      </c>
      <c r="J20" s="25" t="s">
        <v>43</v>
      </c>
    </row>
    <row r="21" spans="1:17" x14ac:dyDescent="0.25">
      <c r="A21" s="4">
        <v>11</v>
      </c>
      <c r="B21" s="23" t="s">
        <v>20</v>
      </c>
      <c r="C21" s="24" t="s">
        <v>32</v>
      </c>
      <c r="D21" s="35"/>
      <c r="E21" s="25" t="s">
        <v>43</v>
      </c>
      <c r="G21" s="23" t="s">
        <v>38</v>
      </c>
      <c r="H21" s="24" t="s">
        <v>25</v>
      </c>
      <c r="I21" s="38">
        <v>108246339.9242</v>
      </c>
      <c r="J21" s="25" t="s">
        <v>43</v>
      </c>
    </row>
    <row r="22" spans="1:17" x14ac:dyDescent="0.25">
      <c r="A22" s="4">
        <v>12</v>
      </c>
      <c r="B22" s="23" t="s">
        <v>19</v>
      </c>
      <c r="C22" s="24" t="s">
        <v>34</v>
      </c>
      <c r="D22" s="35"/>
      <c r="E22" s="25" t="s">
        <v>44</v>
      </c>
      <c r="G22" s="23" t="s">
        <v>131</v>
      </c>
      <c r="H22" s="24" t="s">
        <v>41</v>
      </c>
      <c r="I22" s="38">
        <v>34.784088927864261</v>
      </c>
      <c r="J22" s="25" t="s">
        <v>1005</v>
      </c>
    </row>
    <row r="23" spans="1:17" x14ac:dyDescent="0.25">
      <c r="A23" s="4">
        <v>13</v>
      </c>
      <c r="B23" s="29"/>
      <c r="C23" s="30"/>
      <c r="D23" s="30"/>
      <c r="E23" s="31"/>
      <c r="G23" s="23" t="s">
        <v>16</v>
      </c>
      <c r="H23" s="24" t="s">
        <v>28</v>
      </c>
      <c r="I23" s="62">
        <v>6.7780000000000002E-3</v>
      </c>
      <c r="J23" s="25"/>
    </row>
    <row r="24" spans="1:17" x14ac:dyDescent="0.25">
      <c r="A24" s="4">
        <v>14</v>
      </c>
      <c r="B24" s="32" t="s">
        <v>22</v>
      </c>
      <c r="E24" s="33" t="s">
        <v>43</v>
      </c>
      <c r="G24" s="23" t="s">
        <v>39</v>
      </c>
      <c r="H24" s="24" t="s">
        <v>29</v>
      </c>
      <c r="I24" s="38">
        <v>108208900</v>
      </c>
      <c r="J24" s="25" t="s">
        <v>43</v>
      </c>
    </row>
    <row r="25" spans="1:17" x14ac:dyDescent="0.25">
      <c r="A25" s="4">
        <v>15</v>
      </c>
      <c r="B25" s="32" t="s">
        <v>23</v>
      </c>
      <c r="E25" s="33" t="s">
        <v>44</v>
      </c>
      <c r="G25" s="23" t="s">
        <v>48</v>
      </c>
      <c r="H25" s="24" t="s">
        <v>30</v>
      </c>
      <c r="I25" s="38">
        <v>19414156.43715141</v>
      </c>
      <c r="J25" s="25" t="s">
        <v>42</v>
      </c>
      <c r="K25" s="3">
        <f>IF($H25="p",CONVERT($I25,$J25,$L25),"")</f>
        <v>5392.8212325420582</v>
      </c>
      <c r="L25" s="4" t="s">
        <v>105</v>
      </c>
      <c r="M25" s="3">
        <f>IF($H25="p",CONVERT($I25,$J25,$N25),"")</f>
        <v>224.70088468925243</v>
      </c>
      <c r="N25" s="3" t="s">
        <v>108</v>
      </c>
      <c r="O25" s="3">
        <f>IF($H25="p",CONVERT($I25,$J25,$P25),"")</f>
        <v>0.6151974940157493</v>
      </c>
      <c r="P25" s="3" t="s">
        <v>106</v>
      </c>
    </row>
    <row r="26" spans="1:17" x14ac:dyDescent="0.25">
      <c r="A26" s="4">
        <v>16</v>
      </c>
      <c r="B26" s="20" t="s">
        <v>931</v>
      </c>
      <c r="C26" s="21"/>
      <c r="D26" s="21"/>
      <c r="E26" s="22" t="s">
        <v>42</v>
      </c>
    </row>
    <row r="27" spans="1:17" x14ac:dyDescent="0.25"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</row>
    <row r="28" spans="1:17" x14ac:dyDescent="0.25">
      <c r="B28" s="11" t="s">
        <v>110</v>
      </c>
      <c r="C28" s="12"/>
      <c r="D28" s="12"/>
      <c r="E28" s="13"/>
      <c r="G28" s="3" t="s">
        <v>112</v>
      </c>
      <c r="H28" s="3" t="s">
        <v>1317</v>
      </c>
    </row>
    <row r="29" spans="1:17" ht="13.5" hidden="1" thickBot="1" x14ac:dyDescent="0.3">
      <c r="A29" s="4" t="s">
        <v>8</v>
      </c>
      <c r="B29" s="14" t="s">
        <v>111</v>
      </c>
      <c r="C29" s="15"/>
      <c r="D29" s="15"/>
      <c r="E29" s="16"/>
      <c r="G29" s="17" t="s">
        <v>902</v>
      </c>
      <c r="H29" s="18"/>
      <c r="I29" s="18"/>
      <c r="J29" s="19"/>
      <c r="K29" s="40" t="s">
        <v>107</v>
      </c>
      <c r="L29" s="41"/>
      <c r="M29" s="41"/>
      <c r="N29" s="41"/>
      <c r="O29" s="41"/>
      <c r="P29" s="41"/>
    </row>
    <row r="30" spans="1:17" hidden="1" x14ac:dyDescent="0.25">
      <c r="A30" s="4">
        <v>1</v>
      </c>
      <c r="B30" s="42" t="s">
        <v>113</v>
      </c>
      <c r="C30" s="43" t="s">
        <v>114</v>
      </c>
      <c r="D30" s="44"/>
      <c r="E30" s="45" t="s">
        <v>43</v>
      </c>
      <c r="G30" s="20" t="s">
        <v>128</v>
      </c>
      <c r="H30" s="21" t="s">
        <v>15</v>
      </c>
      <c r="I30" s="21"/>
      <c r="J30" s="22"/>
    </row>
    <row r="31" spans="1:17" hidden="1" x14ac:dyDescent="0.25">
      <c r="A31" s="4">
        <v>2</v>
      </c>
      <c r="B31" s="23" t="s">
        <v>116</v>
      </c>
      <c r="C31" s="24" t="s">
        <v>115</v>
      </c>
      <c r="D31" s="35"/>
      <c r="E31" s="25" t="s">
        <v>43</v>
      </c>
      <c r="G31" s="23" t="s">
        <v>48</v>
      </c>
      <c r="H31" s="24" t="s">
        <v>30</v>
      </c>
      <c r="I31" s="24">
        <v>86164.09</v>
      </c>
      <c r="J31" s="25" t="s">
        <v>42</v>
      </c>
      <c r="L31" s="4"/>
    </row>
    <row r="32" spans="1:17" hidden="1" x14ac:dyDescent="0.25">
      <c r="A32" s="4">
        <v>3</v>
      </c>
      <c r="B32" s="23" t="s">
        <v>48</v>
      </c>
      <c r="C32" s="24" t="s">
        <v>30</v>
      </c>
      <c r="D32" s="35">
        <v>86164.09</v>
      </c>
      <c r="E32" s="25" t="s">
        <v>42</v>
      </c>
      <c r="G32" s="26" t="s">
        <v>903</v>
      </c>
      <c r="H32" s="27"/>
      <c r="I32" s="27"/>
      <c r="J32" s="28"/>
    </row>
    <row r="33" spans="1:16" hidden="1" x14ac:dyDescent="0.25">
      <c r="A33" s="4">
        <v>4</v>
      </c>
      <c r="B33" s="32"/>
      <c r="E33" s="33"/>
      <c r="G33" s="23" t="s">
        <v>113</v>
      </c>
      <c r="H33" s="24" t="s">
        <v>114</v>
      </c>
      <c r="I33" s="38">
        <v>35786.027987094763</v>
      </c>
      <c r="J33" s="25" t="s">
        <v>43</v>
      </c>
    </row>
    <row r="34" spans="1:16" hidden="1" x14ac:dyDescent="0.25">
      <c r="A34" s="4">
        <v>5</v>
      </c>
      <c r="B34" s="32" t="s">
        <v>22</v>
      </c>
      <c r="E34" s="33" t="s">
        <v>43</v>
      </c>
      <c r="G34" s="23" t="s">
        <v>116</v>
      </c>
      <c r="H34" s="24" t="s">
        <v>115</v>
      </c>
      <c r="I34" s="24">
        <v>42164.167987094763</v>
      </c>
      <c r="J34" s="25" t="s">
        <v>43</v>
      </c>
    </row>
    <row r="35" spans="1:16" hidden="1" x14ac:dyDescent="0.25">
      <c r="A35" s="4">
        <v>6</v>
      </c>
      <c r="B35" s="32" t="s">
        <v>23</v>
      </c>
      <c r="E35" s="33" t="s">
        <v>44</v>
      </c>
      <c r="G35" s="23" t="s">
        <v>48</v>
      </c>
      <c r="H35" s="24" t="s">
        <v>30</v>
      </c>
      <c r="I35" s="24">
        <v>86164.09</v>
      </c>
      <c r="J35" s="25" t="s">
        <v>42</v>
      </c>
      <c r="K35" s="3">
        <f>IF($H35="p",CONVERT($I35,$J35,$L35),"")</f>
        <v>23.934469444444442</v>
      </c>
      <c r="L35" s="4" t="s">
        <v>105</v>
      </c>
      <c r="M35" s="3">
        <f>IF($H35="p",CONVERT($I35,$J35,$N35),"")</f>
        <v>0.9972695601851852</v>
      </c>
      <c r="N35" s="3" t="s">
        <v>108</v>
      </c>
      <c r="O35" s="3">
        <f>IF($H35="p",CONVERT($I35,$J35,$P35),"")</f>
        <v>2.7303752503358937E-3</v>
      </c>
      <c r="P35" s="3" t="s">
        <v>106</v>
      </c>
    </row>
    <row r="36" spans="1:16" hidden="1" x14ac:dyDescent="0.25">
      <c r="A36" s="4">
        <v>7</v>
      </c>
      <c r="B36" s="20" t="s">
        <v>931</v>
      </c>
      <c r="C36" s="21"/>
      <c r="D36" s="21"/>
      <c r="E36" s="22" t="s">
        <v>42</v>
      </c>
      <c r="G36" s="23" t="s">
        <v>135</v>
      </c>
      <c r="H36" s="24" t="s">
        <v>136</v>
      </c>
      <c r="I36" s="24">
        <v>3.0746599979871654</v>
      </c>
      <c r="J36" s="25" t="s">
        <v>1005</v>
      </c>
    </row>
    <row r="37" spans="1:16" x14ac:dyDescent="0.25"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</row>
    <row r="38" spans="1:16" x14ac:dyDescent="0.25">
      <c r="B38" s="11" t="s">
        <v>117</v>
      </c>
      <c r="C38" s="12"/>
      <c r="D38" s="12"/>
      <c r="E38" s="13"/>
      <c r="G38" s="3" t="s">
        <v>118</v>
      </c>
      <c r="H38" s="3" t="s">
        <v>930</v>
      </c>
    </row>
    <row r="39" spans="1:16" ht="13.5" hidden="1" thickBot="1" x14ac:dyDescent="0.3">
      <c r="A39" s="4" t="s">
        <v>8</v>
      </c>
      <c r="B39" s="14" t="s">
        <v>111</v>
      </c>
      <c r="C39" s="15"/>
      <c r="D39" s="15"/>
      <c r="E39" s="16"/>
      <c r="G39" s="17" t="s">
        <v>904</v>
      </c>
      <c r="H39" s="18"/>
      <c r="I39" s="18"/>
      <c r="J39" s="19"/>
      <c r="K39" s="40" t="s">
        <v>107</v>
      </c>
      <c r="L39" s="41"/>
      <c r="M39" s="41"/>
      <c r="N39" s="41"/>
      <c r="O39" s="41"/>
      <c r="P39" s="41"/>
    </row>
    <row r="40" spans="1:16" hidden="1" x14ac:dyDescent="0.25">
      <c r="A40" s="4">
        <v>1</v>
      </c>
      <c r="B40" s="20" t="s">
        <v>36</v>
      </c>
      <c r="C40" s="21" t="s">
        <v>24</v>
      </c>
      <c r="D40" s="34"/>
      <c r="E40" s="22" t="s">
        <v>43</v>
      </c>
      <c r="G40" s="42" t="s">
        <v>929</v>
      </c>
      <c r="H40" s="43" t="s">
        <v>95</v>
      </c>
      <c r="I40" s="43">
        <v>1738</v>
      </c>
      <c r="J40" s="45" t="s">
        <v>43</v>
      </c>
    </row>
    <row r="41" spans="1:16" hidden="1" x14ac:dyDescent="0.25">
      <c r="A41" s="4">
        <v>2</v>
      </c>
      <c r="B41" s="23" t="s">
        <v>35</v>
      </c>
      <c r="C41" s="24" t="s">
        <v>26</v>
      </c>
      <c r="D41" s="35">
        <v>1738</v>
      </c>
      <c r="E41" s="25" t="s">
        <v>43</v>
      </c>
      <c r="G41" s="20" t="s">
        <v>35</v>
      </c>
      <c r="H41" s="21" t="s">
        <v>26</v>
      </c>
      <c r="I41" s="21">
        <v>1738</v>
      </c>
      <c r="J41" s="22" t="s">
        <v>43</v>
      </c>
      <c r="L41" s="4"/>
    </row>
    <row r="42" spans="1:16" hidden="1" x14ac:dyDescent="0.25">
      <c r="A42" s="4">
        <v>3</v>
      </c>
      <c r="B42" s="29"/>
      <c r="C42" s="30"/>
      <c r="D42" s="30"/>
      <c r="E42" s="31"/>
      <c r="G42" s="26" t="s">
        <v>905</v>
      </c>
      <c r="H42" s="27"/>
      <c r="I42" s="27"/>
      <c r="J42" s="28"/>
    </row>
    <row r="43" spans="1:16" hidden="1" x14ac:dyDescent="0.25">
      <c r="A43" s="4">
        <v>4</v>
      </c>
      <c r="B43" s="32" t="s">
        <v>22</v>
      </c>
      <c r="E43" s="33" t="s">
        <v>43</v>
      </c>
      <c r="G43" s="23" t="s">
        <v>35</v>
      </c>
      <c r="H43" s="24" t="s">
        <v>26</v>
      </c>
      <c r="I43" s="38">
        <v>1738</v>
      </c>
      <c r="J43" s="25" t="s">
        <v>43</v>
      </c>
    </row>
    <row r="44" spans="1:16" hidden="1" x14ac:dyDescent="0.25">
      <c r="A44" s="4">
        <v>5</v>
      </c>
      <c r="B44" s="32" t="s">
        <v>23</v>
      </c>
      <c r="E44" s="33" t="s">
        <v>44</v>
      </c>
      <c r="G44" s="23" t="s">
        <v>36</v>
      </c>
      <c r="H44" s="24" t="s">
        <v>24</v>
      </c>
      <c r="I44" s="38">
        <v>-45</v>
      </c>
      <c r="J44" s="25" t="s">
        <v>43</v>
      </c>
    </row>
    <row r="45" spans="1:16" hidden="1" x14ac:dyDescent="0.25">
      <c r="A45" s="4">
        <v>6</v>
      </c>
      <c r="B45" s="20" t="s">
        <v>931</v>
      </c>
      <c r="C45" s="21"/>
      <c r="D45" s="21"/>
      <c r="E45" s="22" t="s">
        <v>42</v>
      </c>
      <c r="G45" s="23" t="s">
        <v>137</v>
      </c>
      <c r="H45" s="24" t="s">
        <v>40</v>
      </c>
      <c r="I45" s="38">
        <v>2.3752657170719562</v>
      </c>
      <c r="J45" s="25" t="s">
        <v>1005</v>
      </c>
    </row>
    <row r="46" spans="1:16" hidden="1" x14ac:dyDescent="0.25">
      <c r="A46" s="4">
        <v>7</v>
      </c>
      <c r="G46" s="23" t="s">
        <v>138</v>
      </c>
      <c r="H46" s="24" t="s">
        <v>139</v>
      </c>
      <c r="I46" s="38">
        <v>3476</v>
      </c>
      <c r="J46" s="25" t="s">
        <v>43</v>
      </c>
    </row>
    <row r="47" spans="1:16" x14ac:dyDescent="0.25"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</row>
    <row r="48" spans="1:16" x14ac:dyDescent="0.25">
      <c r="B48" s="11" t="s">
        <v>119</v>
      </c>
      <c r="C48" s="12"/>
      <c r="D48" s="12"/>
      <c r="E48" s="13"/>
      <c r="G48" s="3" t="s">
        <v>120</v>
      </c>
      <c r="H48" s="3" t="s">
        <v>1323</v>
      </c>
    </row>
    <row r="49" spans="1:16" ht="13.5" hidden="1" thickBot="1" x14ac:dyDescent="0.3">
      <c r="A49" s="4" t="s">
        <v>8</v>
      </c>
      <c r="B49" s="14" t="s">
        <v>49</v>
      </c>
      <c r="C49" s="15"/>
      <c r="D49" s="15"/>
      <c r="E49" s="16"/>
      <c r="G49" s="17" t="s">
        <v>906</v>
      </c>
      <c r="H49" s="18"/>
      <c r="I49" s="18"/>
      <c r="J49" s="19"/>
      <c r="K49" s="40" t="s">
        <v>107</v>
      </c>
      <c r="L49" s="41"/>
      <c r="M49" s="41"/>
      <c r="N49" s="41"/>
      <c r="O49" s="41"/>
      <c r="P49" s="41"/>
    </row>
    <row r="50" spans="1:16" hidden="1" x14ac:dyDescent="0.25">
      <c r="A50" s="4">
        <v>1</v>
      </c>
      <c r="B50" s="20" t="s">
        <v>36</v>
      </c>
      <c r="C50" s="21" t="s">
        <v>24</v>
      </c>
      <c r="D50" s="34">
        <v>4850</v>
      </c>
      <c r="E50" s="22" t="s">
        <v>43</v>
      </c>
      <c r="G50" s="42" t="s">
        <v>129</v>
      </c>
      <c r="H50" s="43" t="s">
        <v>93</v>
      </c>
      <c r="I50" s="43"/>
      <c r="J50" s="45"/>
    </row>
    <row r="51" spans="1:16" hidden="1" x14ac:dyDescent="0.25">
      <c r="A51" s="4">
        <v>2</v>
      </c>
      <c r="B51" s="23" t="s">
        <v>35</v>
      </c>
      <c r="C51" s="24" t="s">
        <v>26</v>
      </c>
      <c r="D51" s="35"/>
      <c r="E51" s="25" t="s">
        <v>43</v>
      </c>
      <c r="G51" s="20" t="s">
        <v>36</v>
      </c>
      <c r="H51" s="21" t="s">
        <v>24</v>
      </c>
      <c r="I51" s="21">
        <v>4850</v>
      </c>
      <c r="J51" s="22" t="s">
        <v>43</v>
      </c>
      <c r="L51" s="4"/>
    </row>
    <row r="52" spans="1:16" hidden="1" x14ac:dyDescent="0.25">
      <c r="A52" s="4">
        <v>3</v>
      </c>
      <c r="B52" s="23" t="s">
        <v>16</v>
      </c>
      <c r="C52" s="24" t="s">
        <v>28</v>
      </c>
      <c r="D52" s="35"/>
      <c r="E52" s="25"/>
      <c r="G52" s="23" t="s">
        <v>123</v>
      </c>
      <c r="H52" s="24" t="s">
        <v>126</v>
      </c>
      <c r="I52" s="24">
        <v>66</v>
      </c>
      <c r="J52" s="25" t="s">
        <v>44</v>
      </c>
    </row>
    <row r="53" spans="1:16" hidden="1" x14ac:dyDescent="0.25">
      <c r="A53" s="4">
        <v>4</v>
      </c>
      <c r="B53" s="23" t="s">
        <v>39</v>
      </c>
      <c r="C53" s="24" t="s">
        <v>29</v>
      </c>
      <c r="D53" s="35"/>
      <c r="E53" s="25" t="s">
        <v>43</v>
      </c>
      <c r="G53" s="26" t="s">
        <v>907</v>
      </c>
      <c r="H53" s="27"/>
      <c r="I53" s="27"/>
      <c r="J53" s="28"/>
    </row>
    <row r="54" spans="1:16" hidden="1" x14ac:dyDescent="0.25">
      <c r="A54" s="4">
        <v>5</v>
      </c>
      <c r="B54" s="23" t="s">
        <v>121</v>
      </c>
      <c r="C54" s="24" t="s">
        <v>122</v>
      </c>
      <c r="D54" s="35"/>
      <c r="E54" s="25" t="s">
        <v>140</v>
      </c>
      <c r="G54" s="32" t="s">
        <v>36</v>
      </c>
      <c r="H54" s="3" t="s">
        <v>24</v>
      </c>
      <c r="I54" s="38">
        <v>4850</v>
      </c>
      <c r="J54" s="25" t="s">
        <v>43</v>
      </c>
    </row>
    <row r="55" spans="1:16" hidden="1" x14ac:dyDescent="0.25">
      <c r="A55" s="4">
        <v>6</v>
      </c>
      <c r="B55" s="23" t="s">
        <v>123</v>
      </c>
      <c r="C55" s="24" t="s">
        <v>126</v>
      </c>
      <c r="D55" s="35">
        <v>66</v>
      </c>
      <c r="E55" s="25" t="s">
        <v>44</v>
      </c>
      <c r="G55" s="23" t="s">
        <v>35</v>
      </c>
      <c r="H55" s="24" t="s">
        <v>26</v>
      </c>
      <c r="I55" s="38">
        <v>30119.1</v>
      </c>
      <c r="J55" s="25" t="s">
        <v>43</v>
      </c>
    </row>
    <row r="56" spans="1:16" hidden="1" x14ac:dyDescent="0.25">
      <c r="A56" s="4">
        <v>7</v>
      </c>
      <c r="B56" s="23" t="s">
        <v>124</v>
      </c>
      <c r="C56" s="24" t="s">
        <v>125</v>
      </c>
      <c r="D56" s="35"/>
      <c r="E56" s="25" t="s">
        <v>43</v>
      </c>
      <c r="G56" s="23" t="s">
        <v>127</v>
      </c>
      <c r="H56" s="24" t="s">
        <v>40</v>
      </c>
      <c r="I56" s="38">
        <v>28.089787679090293</v>
      </c>
      <c r="J56" s="25" t="s">
        <v>1005</v>
      </c>
    </row>
    <row r="57" spans="1:16" hidden="1" x14ac:dyDescent="0.25">
      <c r="A57" s="4">
        <v>8</v>
      </c>
      <c r="B57" s="46"/>
      <c r="C57" s="12"/>
      <c r="D57" s="12"/>
      <c r="E57" s="13"/>
      <c r="G57" s="23" t="s">
        <v>121</v>
      </c>
      <c r="H57" s="24" t="s">
        <v>122</v>
      </c>
      <c r="I57" s="38">
        <v>18.241721410107115</v>
      </c>
      <c r="J57" s="25" t="s">
        <v>1005</v>
      </c>
      <c r="K57" s="57"/>
    </row>
    <row r="58" spans="1:16" hidden="1" x14ac:dyDescent="0.25">
      <c r="A58" s="4">
        <v>9</v>
      </c>
      <c r="B58" s="32" t="s">
        <v>22</v>
      </c>
      <c r="E58" s="33" t="s">
        <v>43</v>
      </c>
      <c r="G58" s="23" t="s">
        <v>123</v>
      </c>
      <c r="H58" s="24" t="s">
        <v>126</v>
      </c>
      <c r="I58" s="38">
        <v>66</v>
      </c>
      <c r="J58" s="25" t="s">
        <v>44</v>
      </c>
    </row>
    <row r="59" spans="1:16" hidden="1" x14ac:dyDescent="0.25">
      <c r="A59" s="4">
        <v>10</v>
      </c>
      <c r="B59" s="32" t="s">
        <v>23</v>
      </c>
      <c r="E59" s="33" t="s">
        <v>44</v>
      </c>
      <c r="G59" s="23" t="s">
        <v>39</v>
      </c>
      <c r="H59" s="24" t="s">
        <v>29</v>
      </c>
      <c r="I59" s="38">
        <v>20649.415615314269</v>
      </c>
      <c r="J59" s="25" t="s">
        <v>43</v>
      </c>
    </row>
    <row r="60" spans="1:16" hidden="1" x14ac:dyDescent="0.25">
      <c r="A60" s="4">
        <v>11</v>
      </c>
      <c r="B60" s="20" t="s">
        <v>931</v>
      </c>
      <c r="C60" s="21"/>
      <c r="D60" s="21"/>
      <c r="E60" s="22" t="s">
        <v>42</v>
      </c>
      <c r="G60" s="23" t="s">
        <v>124</v>
      </c>
      <c r="H60" s="24" t="s">
        <v>125</v>
      </c>
      <c r="I60" s="38">
        <v>46379.346831627801</v>
      </c>
      <c r="J60" s="25" t="s">
        <v>43</v>
      </c>
    </row>
    <row r="61" spans="1:16" hidden="1" x14ac:dyDescent="0.25">
      <c r="A61" s="4">
        <v>12</v>
      </c>
      <c r="G61" s="23" t="s">
        <v>16</v>
      </c>
      <c r="H61" s="24" t="s">
        <v>28</v>
      </c>
      <c r="I61" s="24">
        <v>2.4585933355742382</v>
      </c>
      <c r="J61" s="25"/>
    </row>
  </sheetData>
  <hyperlinks>
    <hyperlink ref="B1" location="WS_Navigation!B2" tooltip="go to navigation sheet" display="Navigate to Worksheet TOC (table of contents)" xr:uid="{0F2EA00E-83DE-417C-B9B2-E67276E9477F}"/>
  </hyperlink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Line="0" autoPict="0" macro="[1]!calcOrb">
                <anchor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7</xdr:col>
                    <xdr:colOff>295275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Line="0" autoPict="0" macro="[1]!viewHideODB1">
                <anchor>
                  <from>
                    <xdr:col>5</xdr:col>
                    <xdr:colOff>28575</xdr:colOff>
                    <xdr:row>4</xdr:row>
                    <xdr:rowOff>28575</xdr:rowOff>
                  </from>
                  <to>
                    <xdr:col>7</xdr:col>
                    <xdr:colOff>295275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F347-6156-45C1-9E9C-D39ACCF8E6C4}">
  <sheetPr codeName="Sheet7"/>
  <dimension ref="A1:P57"/>
  <sheetViews>
    <sheetView zoomScale="80" zoomScaleNormal="80" workbookViewId="0">
      <selection activeCell="B8" sqref="B8"/>
    </sheetView>
  </sheetViews>
  <sheetFormatPr defaultRowHeight="12.75" x14ac:dyDescent="0.25"/>
  <cols>
    <col min="1" max="1" width="6.7109375" style="3" customWidth="1"/>
    <col min="2" max="2" width="24.7109375" style="3" customWidth="1"/>
    <col min="3" max="3" width="11.7109375" style="3" customWidth="1"/>
    <col min="4" max="4" width="13.85546875" style="3" bestFit="1" customWidth="1"/>
    <col min="5" max="5" width="6.7109375" style="3" customWidth="1"/>
    <col min="6" max="6" width="2.7109375" style="3" customWidth="1"/>
    <col min="7" max="7" width="28.7109375" style="3" customWidth="1"/>
    <col min="8" max="8" width="8.7109375" style="3" customWidth="1"/>
    <col min="9" max="9" width="16.7109375" style="3" customWidth="1"/>
    <col min="10" max="16384" width="9.140625" style="3"/>
  </cols>
  <sheetData>
    <row r="1" spans="1:10" x14ac:dyDescent="0.25">
      <c r="A1" s="2" t="s">
        <v>1</v>
      </c>
      <c r="B1" s="1" t="s">
        <v>0</v>
      </c>
    </row>
    <row r="2" spans="1:10" x14ac:dyDescent="0.25">
      <c r="A2" s="2" t="s">
        <v>2</v>
      </c>
      <c r="B2" s="2" t="s">
        <v>926</v>
      </c>
    </row>
    <row r="3" spans="1:10" x14ac:dyDescent="0.25">
      <c r="A3" s="2" t="s">
        <v>3</v>
      </c>
      <c r="B3" s="53" t="str">
        <f>HYPERLINK("..\Maple\OrbitalMech\SpreadsheetFiles\OrbitTools(jb1).xlsm","Orbital Tools")</f>
        <v>Orbital Tools</v>
      </c>
      <c r="C3" s="3" t="s">
        <v>14</v>
      </c>
    </row>
    <row r="4" spans="1:10" x14ac:dyDescent="0.25">
      <c r="A4" s="2"/>
      <c r="B4" s="53" t="str">
        <f>HYPERLINK("#MainMenu!B7","Main Menu")</f>
        <v>Main Menu</v>
      </c>
    </row>
    <row r="5" spans="1:10" x14ac:dyDescent="0.25">
      <c r="A5" s="2"/>
      <c r="B5" s="10" t="s">
        <v>80</v>
      </c>
    </row>
    <row r="6" spans="1:10" x14ac:dyDescent="0.25">
      <c r="B6" s="3" t="s">
        <v>45</v>
      </c>
      <c r="C6" s="3" t="str">
        <f>MainMenu!C15</f>
        <v>Venus</v>
      </c>
      <c r="D6" s="3" t="s">
        <v>79</v>
      </c>
    </row>
    <row r="7" spans="1:10" x14ac:dyDescent="0.25">
      <c r="B7" s="3" t="s">
        <v>46</v>
      </c>
      <c r="C7" s="3" t="str">
        <f>MainMenu!C16</f>
        <v>Elliptical</v>
      </c>
      <c r="D7" s="3" t="s">
        <v>79</v>
      </c>
    </row>
    <row r="11" spans="1:10" x14ac:dyDescent="0.25">
      <c r="B11" s="11" t="s">
        <v>150</v>
      </c>
      <c r="C11" s="12"/>
      <c r="D11" s="12"/>
      <c r="E11" s="13"/>
      <c r="G11" s="3" t="s">
        <v>158</v>
      </c>
      <c r="H11" s="3" t="s">
        <v>1330</v>
      </c>
    </row>
    <row r="12" spans="1:10" ht="13.5" thickBot="1" x14ac:dyDescent="0.3">
      <c r="A12" s="4" t="s">
        <v>8</v>
      </c>
      <c r="B12" s="14" t="s">
        <v>111</v>
      </c>
      <c r="C12" s="15"/>
      <c r="D12" s="15"/>
      <c r="E12" s="16"/>
      <c r="G12" s="17" t="s">
        <v>151</v>
      </c>
      <c r="H12" s="18"/>
      <c r="I12" s="18"/>
      <c r="J12" s="19"/>
    </row>
    <row r="13" spans="1:10" x14ac:dyDescent="0.25">
      <c r="A13" s="4">
        <v>1</v>
      </c>
      <c r="B13" s="20" t="s">
        <v>149</v>
      </c>
      <c r="C13" s="21" t="s">
        <v>156</v>
      </c>
      <c r="D13" s="34">
        <v>199.11</v>
      </c>
      <c r="E13" s="22" t="s">
        <v>44</v>
      </c>
      <c r="G13" s="42" t="s">
        <v>130</v>
      </c>
      <c r="H13" s="43" t="s">
        <v>86</v>
      </c>
      <c r="I13" s="43"/>
      <c r="J13" s="45"/>
    </row>
    <row r="14" spans="1:10" x14ac:dyDescent="0.25">
      <c r="A14" s="4">
        <v>2</v>
      </c>
      <c r="B14" s="23" t="s">
        <v>116</v>
      </c>
      <c r="C14" s="24" t="s">
        <v>115</v>
      </c>
      <c r="D14" s="35"/>
      <c r="E14" s="25" t="s">
        <v>43</v>
      </c>
      <c r="G14" s="20" t="s">
        <v>149</v>
      </c>
      <c r="H14" s="21" t="s">
        <v>156</v>
      </c>
      <c r="I14" s="21">
        <v>199.11</v>
      </c>
      <c r="J14" s="22" t="s">
        <v>44</v>
      </c>
    </row>
    <row r="15" spans="1:10" x14ac:dyDescent="0.25">
      <c r="A15" s="4">
        <v>3</v>
      </c>
      <c r="B15" s="23" t="s">
        <v>113</v>
      </c>
      <c r="C15" s="24" t="s">
        <v>105</v>
      </c>
      <c r="D15" s="35"/>
      <c r="E15" s="25" t="s">
        <v>43</v>
      </c>
      <c r="G15" s="26" t="s">
        <v>152</v>
      </c>
      <c r="H15" s="27"/>
      <c r="I15" s="27"/>
      <c r="J15" s="28"/>
    </row>
    <row r="16" spans="1:10" x14ac:dyDescent="0.25">
      <c r="A16" s="4">
        <v>4</v>
      </c>
      <c r="B16" s="29"/>
      <c r="C16" s="30"/>
      <c r="D16" s="30"/>
      <c r="E16" s="31"/>
      <c r="G16" s="23" t="s">
        <v>142</v>
      </c>
      <c r="H16" s="24" t="s">
        <v>136</v>
      </c>
      <c r="I16" s="38">
        <v>34.797257044465056</v>
      </c>
      <c r="J16" s="25" t="s">
        <v>1005</v>
      </c>
    </row>
    <row r="17" spans="1:16" x14ac:dyDescent="0.25">
      <c r="A17" s="4">
        <v>5</v>
      </c>
      <c r="B17" s="32" t="s">
        <v>22</v>
      </c>
      <c r="E17" s="33" t="s">
        <v>43</v>
      </c>
      <c r="G17" s="23" t="s">
        <v>143</v>
      </c>
      <c r="H17" s="24" t="s">
        <v>164</v>
      </c>
      <c r="I17" s="24">
        <v>-0.12795867438320738</v>
      </c>
      <c r="J17" s="25" t="s">
        <v>44</v>
      </c>
    </row>
    <row r="18" spans="1:16" x14ac:dyDescent="0.25">
      <c r="A18" s="4">
        <v>6</v>
      </c>
      <c r="B18" s="32" t="s">
        <v>23</v>
      </c>
      <c r="E18" s="33" t="s">
        <v>44</v>
      </c>
      <c r="G18" s="23" t="s">
        <v>149</v>
      </c>
      <c r="H18" s="24" t="s">
        <v>156</v>
      </c>
      <c r="I18" s="38">
        <v>199.11</v>
      </c>
      <c r="J18" s="25" t="s">
        <v>44</v>
      </c>
    </row>
    <row r="19" spans="1:16" x14ac:dyDescent="0.25">
      <c r="A19" s="4">
        <v>7</v>
      </c>
      <c r="B19" s="20" t="s">
        <v>931</v>
      </c>
      <c r="C19" s="21"/>
      <c r="D19" s="21"/>
      <c r="E19" s="22" t="s">
        <v>42</v>
      </c>
      <c r="G19" s="23" t="s">
        <v>116</v>
      </c>
      <c r="H19" s="24" t="s">
        <v>115</v>
      </c>
      <c r="I19" s="38">
        <v>108901385.10980868</v>
      </c>
      <c r="J19" s="25" t="s">
        <v>43</v>
      </c>
    </row>
    <row r="20" spans="1:16" x14ac:dyDescent="0.25">
      <c r="A20" s="4">
        <v>8</v>
      </c>
      <c r="G20" s="23" t="s">
        <v>113</v>
      </c>
      <c r="H20" s="24" t="s">
        <v>105</v>
      </c>
      <c r="I20" s="38">
        <v>108205385.10980868</v>
      </c>
      <c r="J20" s="25" t="s">
        <v>43</v>
      </c>
    </row>
    <row r="21" spans="1:16" x14ac:dyDescent="0.25">
      <c r="A21" s="4">
        <v>9</v>
      </c>
      <c r="B21" s="51"/>
      <c r="C21" s="52"/>
      <c r="D21" s="52"/>
      <c r="E21" s="52"/>
      <c r="G21" s="23" t="s">
        <v>144</v>
      </c>
      <c r="H21" s="24" t="s">
        <v>157</v>
      </c>
      <c r="I21" s="38">
        <v>10751425.293749994</v>
      </c>
      <c r="J21" s="25" t="s">
        <v>42</v>
      </c>
      <c r="K21" s="3">
        <f>IF($H21="tp",CONVERT($I21,$J21,$L21),"")</f>
        <v>179190.42156249989</v>
      </c>
      <c r="L21" s="4" t="s">
        <v>1322</v>
      </c>
      <c r="M21" s="3">
        <f>IF($H21="tp",CONVERT($I21,$J21,$N21),"")</f>
        <v>2986.5070260416651</v>
      </c>
      <c r="N21" s="3" t="s">
        <v>105</v>
      </c>
      <c r="O21" s="3">
        <f>IF($H21="tp",CONVERT($I21,$J21,$P21),"")</f>
        <v>124.43779275173604</v>
      </c>
      <c r="P21" s="3" t="s">
        <v>108</v>
      </c>
    </row>
    <row r="22" spans="1:16" x14ac:dyDescent="0.25">
      <c r="A22" s="4">
        <v>10</v>
      </c>
      <c r="G22" s="23" t="s">
        <v>145</v>
      </c>
      <c r="H22" s="24" t="s">
        <v>160</v>
      </c>
      <c r="I22" s="24">
        <v>0.36618573751305089</v>
      </c>
      <c r="J22" s="25" t="s">
        <v>44</v>
      </c>
      <c r="K22" s="3">
        <f>ASIN(AstroConstants!E10/I19)*(180/PI())</f>
        <v>0.36618573751305089</v>
      </c>
    </row>
    <row r="23" spans="1:16" x14ac:dyDescent="0.25">
      <c r="A23" s="4">
        <v>11</v>
      </c>
      <c r="G23" s="23" t="s">
        <v>146</v>
      </c>
      <c r="H23" s="24" t="s">
        <v>161</v>
      </c>
      <c r="I23" s="24">
        <v>89.63381426248695</v>
      </c>
      <c r="J23" s="25" t="s">
        <v>44</v>
      </c>
      <c r="K23" s="3">
        <f>ACOS(AstroConstants!E10/I19)*(180/PI())</f>
        <v>89.633814262486936</v>
      </c>
    </row>
    <row r="24" spans="1:16" x14ac:dyDescent="0.25">
      <c r="A24" s="4">
        <v>12</v>
      </c>
      <c r="G24" s="23" t="s">
        <v>147</v>
      </c>
      <c r="H24" s="24" t="s">
        <v>162</v>
      </c>
      <c r="I24" s="38">
        <v>108899160.98315386</v>
      </c>
      <c r="J24" s="25" t="s">
        <v>43</v>
      </c>
    </row>
    <row r="25" spans="1:16" x14ac:dyDescent="0.25">
      <c r="A25" s="4">
        <v>13</v>
      </c>
      <c r="G25" s="23" t="s">
        <v>1315</v>
      </c>
      <c r="H25" s="24" t="s">
        <v>165</v>
      </c>
      <c r="I25" s="38">
        <v>2177652.0105620185</v>
      </c>
      <c r="J25" s="25" t="s">
        <v>43</v>
      </c>
    </row>
    <row r="26" spans="1:16" x14ac:dyDescent="0.25">
      <c r="A26" s="4"/>
      <c r="B26" s="47"/>
      <c r="C26" s="47"/>
      <c r="D26" s="47"/>
      <c r="E26" s="47"/>
      <c r="F26" s="47"/>
      <c r="G26" s="47"/>
      <c r="H26" s="47"/>
      <c r="I26" s="47"/>
      <c r="J26" s="47"/>
    </row>
    <row r="27" spans="1:16" x14ac:dyDescent="0.25">
      <c r="B27" s="11" t="s">
        <v>1308</v>
      </c>
      <c r="C27" s="12"/>
      <c r="D27" s="12"/>
      <c r="E27" s="13"/>
      <c r="G27" s="3" t="s">
        <v>1309</v>
      </c>
      <c r="H27" s="3" t="s">
        <v>1319</v>
      </c>
    </row>
    <row r="28" spans="1:16" ht="13.5" hidden="1" thickBot="1" x14ac:dyDescent="0.3">
      <c r="A28" s="4" t="s">
        <v>8</v>
      </c>
      <c r="B28" s="14" t="s">
        <v>1321</v>
      </c>
      <c r="C28" s="15"/>
      <c r="D28" s="15"/>
      <c r="E28" s="16"/>
      <c r="G28" s="17" t="s">
        <v>1310</v>
      </c>
      <c r="H28" s="18"/>
      <c r="I28" s="18"/>
      <c r="J28" s="19"/>
    </row>
    <row r="29" spans="1:16" hidden="1" x14ac:dyDescent="0.25">
      <c r="A29" s="4">
        <v>1</v>
      </c>
      <c r="B29" s="20" t="s">
        <v>1318</v>
      </c>
      <c r="C29" s="21"/>
      <c r="D29" s="21"/>
      <c r="E29" s="22"/>
      <c r="G29" s="42" t="s">
        <v>128</v>
      </c>
      <c r="H29" s="43" t="s">
        <v>15</v>
      </c>
      <c r="I29" s="43"/>
      <c r="J29" s="45"/>
    </row>
    <row r="30" spans="1:16" hidden="1" x14ac:dyDescent="0.25">
      <c r="A30" s="4">
        <v>2</v>
      </c>
      <c r="B30" s="29"/>
      <c r="C30" s="30"/>
      <c r="D30" s="30"/>
      <c r="E30" s="31"/>
      <c r="G30" s="26" t="s">
        <v>1311</v>
      </c>
      <c r="H30" s="27"/>
      <c r="I30" s="27"/>
      <c r="J30" s="28"/>
    </row>
    <row r="31" spans="1:16" hidden="1" x14ac:dyDescent="0.25">
      <c r="A31" s="4">
        <v>3</v>
      </c>
      <c r="B31" s="32" t="s">
        <v>22</v>
      </c>
      <c r="E31" s="33" t="s">
        <v>43</v>
      </c>
      <c r="G31" s="23" t="s">
        <v>142</v>
      </c>
      <c r="H31" s="24" t="s">
        <v>136</v>
      </c>
      <c r="I31" s="62">
        <v>3.0746599979871654</v>
      </c>
      <c r="J31" s="25" t="s">
        <v>1005</v>
      </c>
    </row>
    <row r="32" spans="1:16" hidden="1" x14ac:dyDescent="0.25">
      <c r="A32" s="4">
        <v>4</v>
      </c>
      <c r="B32" s="32" t="s">
        <v>23</v>
      </c>
      <c r="E32" s="33" t="s">
        <v>44</v>
      </c>
      <c r="G32" s="23" t="s">
        <v>1316</v>
      </c>
      <c r="H32" s="24" t="s">
        <v>30</v>
      </c>
      <c r="I32" s="38">
        <v>86164.09</v>
      </c>
      <c r="J32" s="25" t="s">
        <v>42</v>
      </c>
    </row>
    <row r="33" spans="1:10" hidden="1" x14ac:dyDescent="0.25">
      <c r="A33" s="4">
        <v>5</v>
      </c>
      <c r="B33" s="20" t="s">
        <v>931</v>
      </c>
      <c r="C33" s="21"/>
      <c r="D33" s="21"/>
      <c r="E33" s="22" t="s">
        <v>42</v>
      </c>
      <c r="G33" s="23" t="s">
        <v>116</v>
      </c>
      <c r="H33" s="24" t="s">
        <v>115</v>
      </c>
      <c r="I33" s="38">
        <v>42164.167987094763</v>
      </c>
      <c r="J33" s="25" t="s">
        <v>43</v>
      </c>
    </row>
    <row r="34" spans="1:10" hidden="1" x14ac:dyDescent="0.25">
      <c r="A34" s="4">
        <v>6</v>
      </c>
      <c r="G34" s="23" t="s">
        <v>113</v>
      </c>
      <c r="H34" s="24" t="s">
        <v>105</v>
      </c>
      <c r="I34" s="38">
        <v>35786.027987094763</v>
      </c>
      <c r="J34" s="25" t="s">
        <v>43</v>
      </c>
    </row>
    <row r="35" spans="1:10" hidden="1" x14ac:dyDescent="0.25">
      <c r="A35" s="4">
        <v>7</v>
      </c>
      <c r="G35" s="23" t="s">
        <v>145</v>
      </c>
      <c r="H35" s="24" t="s">
        <v>160</v>
      </c>
      <c r="I35" s="87">
        <v>8.7004857683398527</v>
      </c>
      <c r="J35" s="25" t="s">
        <v>44</v>
      </c>
    </row>
    <row r="36" spans="1:10" hidden="1" x14ac:dyDescent="0.25">
      <c r="A36" s="4">
        <v>8</v>
      </c>
      <c r="G36" s="23" t="s">
        <v>146</v>
      </c>
      <c r="H36" s="24" t="s">
        <v>161</v>
      </c>
      <c r="I36" s="87">
        <v>81.29951423166014</v>
      </c>
      <c r="J36" s="25" t="s">
        <v>44</v>
      </c>
    </row>
    <row r="37" spans="1:10" hidden="1" x14ac:dyDescent="0.25">
      <c r="A37" s="4">
        <v>9</v>
      </c>
      <c r="B37" s="51"/>
      <c r="C37" s="52"/>
      <c r="D37" s="52"/>
      <c r="E37" s="52"/>
      <c r="G37" s="23" t="s">
        <v>147</v>
      </c>
      <c r="H37" s="24" t="s">
        <v>162</v>
      </c>
      <c r="I37" s="38">
        <v>41678.968223605858</v>
      </c>
      <c r="J37" s="25" t="s">
        <v>43</v>
      </c>
    </row>
    <row r="38" spans="1:10" hidden="1" x14ac:dyDescent="0.25">
      <c r="A38" s="4">
        <v>10</v>
      </c>
      <c r="G38" s="23" t="s">
        <v>1315</v>
      </c>
      <c r="H38" s="24" t="s">
        <v>165</v>
      </c>
      <c r="I38" s="38">
        <v>18100.449565683033</v>
      </c>
      <c r="J38" s="25" t="s">
        <v>43</v>
      </c>
    </row>
    <row r="39" spans="1:10" x14ac:dyDescent="0.25">
      <c r="B39" s="47"/>
      <c r="C39" s="47"/>
      <c r="D39" s="47"/>
      <c r="E39" s="47"/>
      <c r="F39" s="47"/>
      <c r="G39" s="47"/>
      <c r="H39" s="47"/>
      <c r="I39" s="47"/>
      <c r="J39" s="47"/>
    </row>
    <row r="40" spans="1:10" x14ac:dyDescent="0.25">
      <c r="B40" s="11" t="s">
        <v>153</v>
      </c>
      <c r="C40" s="12"/>
      <c r="D40" s="12"/>
      <c r="E40" s="13"/>
      <c r="G40" s="3" t="s">
        <v>159</v>
      </c>
      <c r="H40" s="3" t="s">
        <v>1327</v>
      </c>
    </row>
    <row r="41" spans="1:10" ht="13.5" hidden="1" thickBot="1" x14ac:dyDescent="0.3">
      <c r="A41" s="4" t="s">
        <v>8</v>
      </c>
      <c r="B41" s="14" t="s">
        <v>111</v>
      </c>
      <c r="C41" s="15"/>
      <c r="D41" s="15"/>
      <c r="E41" s="16"/>
      <c r="G41" s="17" t="s">
        <v>154</v>
      </c>
      <c r="H41" s="18"/>
      <c r="I41" s="18"/>
      <c r="J41" s="19"/>
    </row>
    <row r="42" spans="1:10" hidden="1" x14ac:dyDescent="0.25">
      <c r="A42" s="4">
        <v>1</v>
      </c>
      <c r="B42" s="20" t="s">
        <v>149</v>
      </c>
      <c r="C42" s="21" t="s">
        <v>156</v>
      </c>
      <c r="D42" s="34"/>
      <c r="E42" s="22" t="s">
        <v>44</v>
      </c>
      <c r="G42" s="42" t="s">
        <v>129</v>
      </c>
      <c r="H42" s="43" t="s">
        <v>93</v>
      </c>
      <c r="I42" s="43"/>
      <c r="J42" s="45"/>
    </row>
    <row r="43" spans="1:10" hidden="1" x14ac:dyDescent="0.25">
      <c r="A43" s="4">
        <v>2</v>
      </c>
      <c r="B43" s="23" t="s">
        <v>116</v>
      </c>
      <c r="C43" s="24" t="s">
        <v>115</v>
      </c>
      <c r="D43" s="35">
        <v>354600</v>
      </c>
      <c r="E43" s="25" t="s">
        <v>43</v>
      </c>
      <c r="G43" s="20" t="s">
        <v>116</v>
      </c>
      <c r="H43" s="21" t="s">
        <v>115</v>
      </c>
      <c r="I43" s="21">
        <v>354600</v>
      </c>
      <c r="J43" s="22" t="s">
        <v>43</v>
      </c>
    </row>
    <row r="44" spans="1:10" hidden="1" x14ac:dyDescent="0.25">
      <c r="A44" s="4">
        <v>3</v>
      </c>
      <c r="B44" s="23" t="s">
        <v>113</v>
      </c>
      <c r="C44" s="24" t="s">
        <v>105</v>
      </c>
      <c r="D44" s="35"/>
      <c r="E44" s="25" t="s">
        <v>43</v>
      </c>
      <c r="G44" s="26" t="s">
        <v>155</v>
      </c>
      <c r="H44" s="27"/>
      <c r="I44" s="27"/>
      <c r="J44" s="28"/>
    </row>
    <row r="45" spans="1:10" hidden="1" x14ac:dyDescent="0.25">
      <c r="A45" s="4">
        <v>4</v>
      </c>
      <c r="B45" s="29"/>
      <c r="C45" s="30"/>
      <c r="D45" s="30"/>
      <c r="E45" s="31"/>
      <c r="G45" s="23" t="s">
        <v>142</v>
      </c>
      <c r="H45" s="24" t="s">
        <v>136</v>
      </c>
      <c r="I45" s="38">
        <v>19.274741532463469</v>
      </c>
      <c r="J45" s="25" t="s">
        <v>1005</v>
      </c>
    </row>
    <row r="46" spans="1:10" hidden="1" x14ac:dyDescent="0.25">
      <c r="A46" s="4">
        <v>5</v>
      </c>
      <c r="B46" s="32" t="s">
        <v>22</v>
      </c>
      <c r="E46" s="33" t="s">
        <v>43</v>
      </c>
      <c r="G46" s="23" t="s">
        <v>143</v>
      </c>
      <c r="H46" s="24" t="s">
        <v>164</v>
      </c>
      <c r="I46" s="38">
        <v>82.889483635703769</v>
      </c>
      <c r="J46" s="25" t="s">
        <v>44</v>
      </c>
    </row>
    <row r="47" spans="1:10" hidden="1" x14ac:dyDescent="0.25">
      <c r="A47" s="4">
        <v>6</v>
      </c>
      <c r="B47" s="32" t="s">
        <v>23</v>
      </c>
      <c r="E47" s="33" t="s">
        <v>44</v>
      </c>
      <c r="G47" s="23" t="s">
        <v>149</v>
      </c>
      <c r="H47" s="24" t="s">
        <v>156</v>
      </c>
      <c r="I47" s="38">
        <v>106.69344326998248</v>
      </c>
      <c r="J47" s="25" t="s">
        <v>44</v>
      </c>
    </row>
    <row r="48" spans="1:10" hidden="1" x14ac:dyDescent="0.25">
      <c r="A48" s="4">
        <v>7</v>
      </c>
      <c r="B48" s="20" t="s">
        <v>931</v>
      </c>
      <c r="C48" s="21"/>
      <c r="D48" s="21"/>
      <c r="E48" s="22" t="s">
        <v>42</v>
      </c>
      <c r="G48" s="23" t="s">
        <v>116</v>
      </c>
      <c r="H48" s="24" t="s">
        <v>115</v>
      </c>
      <c r="I48" s="38">
        <v>354600</v>
      </c>
      <c r="J48" s="25" t="s">
        <v>43</v>
      </c>
    </row>
    <row r="49" spans="1:16" hidden="1" x14ac:dyDescent="0.25">
      <c r="A49" s="4">
        <v>8</v>
      </c>
      <c r="B49" s="51"/>
      <c r="C49" s="52"/>
      <c r="D49" s="52"/>
      <c r="E49" s="52"/>
      <c r="G49" s="23" t="s">
        <v>113</v>
      </c>
      <c r="H49" s="24" t="s">
        <v>105</v>
      </c>
      <c r="I49" s="38">
        <v>329330.90000000002</v>
      </c>
      <c r="J49" s="25" t="s">
        <v>43</v>
      </c>
    </row>
    <row r="50" spans="1:16" hidden="1" x14ac:dyDescent="0.25">
      <c r="A50" s="4">
        <v>9</v>
      </c>
      <c r="G50" s="23" t="s">
        <v>144</v>
      </c>
      <c r="H50" s="24" t="s">
        <v>157</v>
      </c>
      <c r="I50" s="38">
        <v>17338.055966490596</v>
      </c>
      <c r="J50" s="25" t="s">
        <v>42</v>
      </c>
      <c r="K50" s="3">
        <f>IF($H50="tp",CONVERT($I50,$J50,$L50),"")</f>
        <v>4.8161266573584989</v>
      </c>
      <c r="L50" s="4" t="s">
        <v>105</v>
      </c>
      <c r="M50" s="3">
        <f>IF($H50="tp",CONVERT($I50,$J50,$N50),"")</f>
        <v>0.20067194405660413</v>
      </c>
      <c r="N50" s="3" t="s">
        <v>108</v>
      </c>
      <c r="O50" s="3">
        <f>IF($H50="tp",CONVERT($I50,$J50,$P50),"")</f>
        <v>5.4940983999070259E-4</v>
      </c>
      <c r="P50" s="3" t="s">
        <v>106</v>
      </c>
    </row>
    <row r="51" spans="1:16" hidden="1" x14ac:dyDescent="0.25">
      <c r="A51" s="4">
        <v>10</v>
      </c>
      <c r="G51" s="23" t="s">
        <v>145</v>
      </c>
      <c r="H51" s="24" t="s">
        <v>160</v>
      </c>
      <c r="I51" s="38">
        <v>4.0864098968526976</v>
      </c>
      <c r="J51" s="25" t="s">
        <v>44</v>
      </c>
    </row>
    <row r="52" spans="1:16" hidden="1" x14ac:dyDescent="0.25">
      <c r="A52" s="4">
        <v>11</v>
      </c>
      <c r="G52" s="23" t="s">
        <v>146</v>
      </c>
      <c r="H52" s="24" t="s">
        <v>161</v>
      </c>
      <c r="I52" s="38">
        <v>85.9135901031473</v>
      </c>
      <c r="J52" s="25" t="s">
        <v>44</v>
      </c>
    </row>
    <row r="53" spans="1:16" hidden="1" x14ac:dyDescent="0.25">
      <c r="A53" s="4">
        <v>12</v>
      </c>
      <c r="G53" s="23" t="s">
        <v>147</v>
      </c>
      <c r="H53" s="24" t="s">
        <v>162</v>
      </c>
      <c r="I53" s="38">
        <v>353698.50520632678</v>
      </c>
      <c r="J53" s="25" t="s">
        <v>43</v>
      </c>
    </row>
    <row r="54" spans="1:16" hidden="1" x14ac:dyDescent="0.25">
      <c r="A54" s="4">
        <v>13</v>
      </c>
      <c r="G54" s="23" t="s">
        <v>148</v>
      </c>
      <c r="H54" s="24" t="s">
        <v>165</v>
      </c>
      <c r="I54" s="38">
        <v>75780.768430936354</v>
      </c>
      <c r="J54" s="25" t="s">
        <v>43</v>
      </c>
    </row>
    <row r="55" spans="1:16" hidden="1" x14ac:dyDescent="0.25">
      <c r="A55" s="4">
        <v>14</v>
      </c>
      <c r="G55" s="23" t="s">
        <v>123</v>
      </c>
      <c r="H55" s="24" t="s">
        <v>126</v>
      </c>
      <c r="I55" s="24">
        <v>66</v>
      </c>
      <c r="J55" s="25" t="s">
        <v>44</v>
      </c>
    </row>
    <row r="56" spans="1:16" x14ac:dyDescent="0.25">
      <c r="A56" s="4"/>
      <c r="G56" s="23" t="s">
        <v>1324</v>
      </c>
      <c r="H56" s="24"/>
      <c r="I56" s="24">
        <v>47.999999999999993</v>
      </c>
      <c r="J56" s="25" t="s">
        <v>44</v>
      </c>
    </row>
    <row r="57" spans="1:16" x14ac:dyDescent="0.25">
      <c r="B57" s="47"/>
      <c r="C57" s="47"/>
      <c r="D57" s="47"/>
      <c r="E57" s="47"/>
      <c r="F57" s="47"/>
      <c r="G57" s="47"/>
      <c r="H57" s="47"/>
      <c r="I57" s="47"/>
      <c r="J57" s="47"/>
    </row>
  </sheetData>
  <dataConsolidate/>
  <hyperlinks>
    <hyperlink ref="B1" location="WS_Navigation!B2" tooltip="go to navigation sheet" display="Navigate to Worksheet TOC (table of contents)" xr:uid="{B05BD036-1097-4BB0-910A-0674EF0A8E68}"/>
  </hyperlink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Line="0" autoPict="0" macro="[1]!calcPAP">
                <anchor>
                  <from>
                    <xdr:col>4</xdr:col>
                    <xdr:colOff>400050</xdr:colOff>
                    <xdr:row>6</xdr:row>
                    <xdr:rowOff>9525</xdr:rowOff>
                  </from>
                  <to>
                    <xdr:col>6</xdr:col>
                    <xdr:colOff>1866900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Line="0" autoPict="0" macro="[1]!viewHidePAP1">
                <anchor>
                  <from>
                    <xdr:col>4</xdr:col>
                    <xdr:colOff>400050</xdr:colOff>
                    <xdr:row>4</xdr:row>
                    <xdr:rowOff>0</xdr:rowOff>
                  </from>
                  <to>
                    <xdr:col>6</xdr:col>
                    <xdr:colOff>1866900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4E863-DF9B-4793-90AC-F73BB03F5091}">
  <sheetPr codeName="Sheet13"/>
  <dimension ref="A1:L38"/>
  <sheetViews>
    <sheetView zoomScale="80" zoomScaleNormal="80" workbookViewId="0">
      <selection activeCell="G25" sqref="G25"/>
    </sheetView>
  </sheetViews>
  <sheetFormatPr defaultRowHeight="12.75" x14ac:dyDescent="0.25"/>
  <cols>
    <col min="1" max="1" width="6.7109375" style="3" customWidth="1"/>
    <col min="2" max="2" width="32.7109375" style="3" customWidth="1"/>
    <col min="3" max="3" width="11.7109375" style="3" customWidth="1"/>
    <col min="4" max="4" width="14.85546875" style="3" bestFit="1" customWidth="1"/>
    <col min="5" max="5" width="6.7109375" style="3" customWidth="1"/>
    <col min="6" max="6" width="2.7109375" style="3" customWidth="1"/>
    <col min="7" max="7" width="32.7109375" style="3" customWidth="1"/>
    <col min="8" max="8" width="11.7109375" style="3" customWidth="1"/>
    <col min="9" max="9" width="16.7109375" style="3" customWidth="1"/>
    <col min="10" max="10" width="9.140625" style="3"/>
    <col min="11" max="11" width="2.7109375" style="3" customWidth="1"/>
    <col min="12" max="16384" width="9.140625" style="3"/>
  </cols>
  <sheetData>
    <row r="1" spans="1:12" x14ac:dyDescent="0.25">
      <c r="A1" s="2" t="s">
        <v>1</v>
      </c>
      <c r="B1" s="1" t="s">
        <v>0</v>
      </c>
    </row>
    <row r="2" spans="1:12" x14ac:dyDescent="0.25">
      <c r="A2" s="2" t="s">
        <v>2</v>
      </c>
      <c r="B2" s="2" t="s">
        <v>911</v>
      </c>
    </row>
    <row r="3" spans="1:12" x14ac:dyDescent="0.25">
      <c r="A3" s="2" t="s">
        <v>3</v>
      </c>
      <c r="B3" s="53" t="str">
        <f>HYPERLINK("..\Maple\OrbitalMech\SpreadsheetFiles\OrbitTools(jb1).xlsm","Orbital Tools")</f>
        <v>Orbital Tools</v>
      </c>
      <c r="C3" s="3" t="s">
        <v>14</v>
      </c>
    </row>
    <row r="4" spans="1:12" x14ac:dyDescent="0.25">
      <c r="A4" s="2"/>
      <c r="B4" s="53" t="str">
        <f>HYPERLINK("#MainMenu!B7","Main Menu")</f>
        <v>Main Menu</v>
      </c>
      <c r="C4" s="58"/>
    </row>
    <row r="5" spans="1:12" x14ac:dyDescent="0.25">
      <c r="A5" s="2"/>
      <c r="B5" s="10" t="s">
        <v>80</v>
      </c>
    </row>
    <row r="6" spans="1:12" x14ac:dyDescent="0.25">
      <c r="B6" s="3" t="s">
        <v>45</v>
      </c>
      <c r="C6" s="3" t="str">
        <f>MainMenu!C15</f>
        <v>Venus</v>
      </c>
      <c r="D6" s="3" t="s">
        <v>79</v>
      </c>
      <c r="L6" s="63"/>
    </row>
    <row r="7" spans="1:12" x14ac:dyDescent="0.25">
      <c r="B7" s="3" t="s">
        <v>46</v>
      </c>
      <c r="C7" s="3" t="str">
        <f>MainMenu!C16</f>
        <v>Elliptical</v>
      </c>
      <c r="D7" s="3" t="s">
        <v>79</v>
      </c>
    </row>
    <row r="9" spans="1:12" x14ac:dyDescent="0.25">
      <c r="B9" s="11" t="s">
        <v>913</v>
      </c>
      <c r="C9" s="12"/>
      <c r="D9" s="12"/>
      <c r="E9" s="13"/>
      <c r="G9" s="3" t="s">
        <v>910</v>
      </c>
      <c r="H9" s="3" t="s">
        <v>1328</v>
      </c>
    </row>
    <row r="10" spans="1:12" ht="13.5" thickBot="1" x14ac:dyDescent="0.3">
      <c r="A10" s="4" t="s">
        <v>8</v>
      </c>
      <c r="B10" s="14" t="s">
        <v>977</v>
      </c>
      <c r="C10" s="15"/>
      <c r="D10" s="15"/>
      <c r="E10" s="16"/>
      <c r="G10" s="17" t="s">
        <v>932</v>
      </c>
      <c r="H10" s="18"/>
      <c r="I10" s="18"/>
      <c r="J10" s="19"/>
    </row>
    <row r="11" spans="1:12" x14ac:dyDescent="0.25">
      <c r="A11" s="4">
        <v>1</v>
      </c>
      <c r="B11" s="20" t="s">
        <v>875</v>
      </c>
      <c r="C11" s="21" t="s">
        <v>980</v>
      </c>
      <c r="D11" s="34">
        <v>15</v>
      </c>
      <c r="E11" s="22" t="s">
        <v>44</v>
      </c>
      <c r="G11" s="42" t="s">
        <v>130</v>
      </c>
      <c r="H11" s="43" t="s">
        <v>15</v>
      </c>
      <c r="I11" s="43"/>
      <c r="J11" s="45"/>
    </row>
    <row r="12" spans="1:12" x14ac:dyDescent="0.25">
      <c r="A12" s="4">
        <v>2</v>
      </c>
      <c r="B12" s="23" t="s">
        <v>876</v>
      </c>
      <c r="C12" s="24" t="s">
        <v>978</v>
      </c>
      <c r="D12" s="35">
        <v>28.5</v>
      </c>
      <c r="E12" s="25" t="s">
        <v>44</v>
      </c>
      <c r="G12" s="20" t="s">
        <v>875</v>
      </c>
      <c r="H12" s="21" t="s">
        <v>980</v>
      </c>
      <c r="I12" s="21">
        <v>15</v>
      </c>
      <c r="J12" s="22" t="s">
        <v>44</v>
      </c>
    </row>
    <row r="13" spans="1:12" x14ac:dyDescent="0.25">
      <c r="A13" s="4">
        <v>3</v>
      </c>
      <c r="B13" s="23" t="s">
        <v>935</v>
      </c>
      <c r="C13" s="24" t="s">
        <v>979</v>
      </c>
      <c r="D13" s="35">
        <v>167</v>
      </c>
      <c r="E13" s="25" t="s">
        <v>44</v>
      </c>
      <c r="G13" s="23" t="s">
        <v>876</v>
      </c>
      <c r="H13" s="24" t="s">
        <v>978</v>
      </c>
      <c r="I13" s="24">
        <v>28.5</v>
      </c>
      <c r="J13" s="25" t="s">
        <v>44</v>
      </c>
    </row>
    <row r="14" spans="1:12" x14ac:dyDescent="0.25">
      <c r="A14" s="4">
        <v>4</v>
      </c>
      <c r="B14" s="23" t="s">
        <v>149</v>
      </c>
      <c r="C14" s="24" t="s">
        <v>156</v>
      </c>
      <c r="D14" s="35">
        <v>30</v>
      </c>
      <c r="E14" s="25" t="s">
        <v>44</v>
      </c>
      <c r="G14" s="23" t="s">
        <v>935</v>
      </c>
      <c r="H14" s="24" t="s">
        <v>979</v>
      </c>
      <c r="I14" s="24">
        <v>167</v>
      </c>
      <c r="J14" s="25" t="s">
        <v>44</v>
      </c>
    </row>
    <row r="15" spans="1:12" x14ac:dyDescent="0.25">
      <c r="A15" s="4">
        <v>5</v>
      </c>
      <c r="B15" s="29"/>
      <c r="C15" s="30"/>
      <c r="D15" s="30"/>
      <c r="E15" s="31"/>
      <c r="G15" s="23" t="s">
        <v>149</v>
      </c>
      <c r="H15" s="24" t="s">
        <v>156</v>
      </c>
      <c r="I15" s="24">
        <v>30</v>
      </c>
      <c r="J15" s="25" t="s">
        <v>44</v>
      </c>
    </row>
    <row r="16" spans="1:12" x14ac:dyDescent="0.25">
      <c r="A16" s="4">
        <v>6</v>
      </c>
      <c r="B16" s="32" t="s">
        <v>22</v>
      </c>
      <c r="E16" s="33" t="s">
        <v>43</v>
      </c>
      <c r="G16" s="26" t="s">
        <v>933</v>
      </c>
      <c r="H16" s="27"/>
      <c r="I16" s="27"/>
      <c r="J16" s="28"/>
    </row>
    <row r="17" spans="1:10" x14ac:dyDescent="0.25">
      <c r="A17" s="4">
        <v>7</v>
      </c>
      <c r="B17" s="32" t="s">
        <v>23</v>
      </c>
      <c r="E17" s="33" t="s">
        <v>44</v>
      </c>
      <c r="G17" s="23" t="s">
        <v>48</v>
      </c>
      <c r="H17" s="24" t="s">
        <v>30</v>
      </c>
      <c r="I17" s="38">
        <v>5400.1029236110016</v>
      </c>
      <c r="J17" s="25" t="s">
        <v>42</v>
      </c>
    </row>
    <row r="18" spans="1:10" x14ac:dyDescent="0.25">
      <c r="A18" s="4">
        <v>8</v>
      </c>
      <c r="B18" s="20" t="s">
        <v>931</v>
      </c>
      <c r="C18" s="21"/>
      <c r="D18" s="21"/>
      <c r="E18" s="22" t="s">
        <v>42</v>
      </c>
      <c r="G18" s="23" t="s">
        <v>941</v>
      </c>
      <c r="H18" s="24" t="s">
        <v>157</v>
      </c>
      <c r="I18" s="38">
        <v>449.42747830328136</v>
      </c>
      <c r="J18" s="25" t="s">
        <v>42</v>
      </c>
    </row>
    <row r="19" spans="1:10" x14ac:dyDescent="0.25">
      <c r="A19" s="4">
        <v>9</v>
      </c>
      <c r="G19" s="23" t="s">
        <v>989</v>
      </c>
      <c r="H19" s="24" t="s">
        <v>988</v>
      </c>
      <c r="I19" s="38">
        <v>224.7035049157447</v>
      </c>
      <c r="J19" s="25" t="s">
        <v>42</v>
      </c>
    </row>
    <row r="20" spans="1:10" x14ac:dyDescent="0.25">
      <c r="A20" s="4">
        <v>10</v>
      </c>
      <c r="G20" s="23" t="s">
        <v>936</v>
      </c>
      <c r="H20" s="24" t="s">
        <v>982</v>
      </c>
      <c r="I20" s="38">
        <v>45</v>
      </c>
      <c r="J20" s="25" t="s">
        <v>44</v>
      </c>
    </row>
    <row r="21" spans="1:10" x14ac:dyDescent="0.25">
      <c r="A21" s="4">
        <v>11</v>
      </c>
      <c r="G21" s="23" t="s">
        <v>990</v>
      </c>
      <c r="H21" s="24" t="s">
        <v>991</v>
      </c>
      <c r="I21" s="24">
        <v>-8.7452198599582745E-5</v>
      </c>
      <c r="J21" s="25" t="s">
        <v>967</v>
      </c>
    </row>
    <row r="22" spans="1:10" x14ac:dyDescent="0.25">
      <c r="A22" s="4">
        <v>12</v>
      </c>
      <c r="G22" s="23" t="s">
        <v>981</v>
      </c>
      <c r="H22" s="24" t="s">
        <v>987</v>
      </c>
      <c r="I22" s="38">
        <v>19.71868056531342</v>
      </c>
      <c r="J22" s="25" t="s">
        <v>44</v>
      </c>
    </row>
    <row r="23" spans="1:10" x14ac:dyDescent="0.25">
      <c r="A23" s="4">
        <v>13</v>
      </c>
      <c r="G23" s="23" t="s">
        <v>937</v>
      </c>
      <c r="H23" s="59" t="s">
        <v>939</v>
      </c>
      <c r="I23" s="60" t="s">
        <v>939</v>
      </c>
      <c r="J23" s="25"/>
    </row>
    <row r="24" spans="1:10" x14ac:dyDescent="0.25">
      <c r="A24" s="4">
        <v>14</v>
      </c>
      <c r="G24" s="23" t="s">
        <v>938</v>
      </c>
      <c r="H24" s="24" t="s">
        <v>993</v>
      </c>
      <c r="I24" s="38">
        <v>41.309559103792232</v>
      </c>
      <c r="J24" s="25" t="s">
        <v>44</v>
      </c>
    </row>
    <row r="25" spans="1:10" x14ac:dyDescent="0.25">
      <c r="A25" s="4">
        <v>15</v>
      </c>
      <c r="G25" s="23" t="s">
        <v>994</v>
      </c>
      <c r="H25" s="24" t="s">
        <v>983</v>
      </c>
      <c r="I25" s="38">
        <v>2.8165866609874124</v>
      </c>
      <c r="J25" s="25" t="s">
        <v>44</v>
      </c>
    </row>
    <row r="26" spans="1:10" x14ac:dyDescent="0.25">
      <c r="A26" s="4">
        <v>16</v>
      </c>
      <c r="G26" s="23" t="s">
        <v>940</v>
      </c>
      <c r="H26" s="24" t="s">
        <v>984</v>
      </c>
      <c r="I26" s="24">
        <v>-5.8954236626602249E-2</v>
      </c>
      <c r="J26" s="25" t="s">
        <v>44</v>
      </c>
    </row>
    <row r="27" spans="1:10" x14ac:dyDescent="0.25">
      <c r="A27" s="4">
        <v>17</v>
      </c>
      <c r="G27" s="23" t="s">
        <v>995</v>
      </c>
      <c r="H27" s="24" t="s">
        <v>992</v>
      </c>
      <c r="I27" s="38">
        <v>205.43401820617822</v>
      </c>
      <c r="J27" s="25" t="s">
        <v>44</v>
      </c>
    </row>
    <row r="28" spans="1:10" x14ac:dyDescent="0.25">
      <c r="B28" s="47"/>
      <c r="C28" s="47"/>
      <c r="D28" s="47"/>
      <c r="E28" s="47"/>
      <c r="F28" s="47"/>
      <c r="G28" s="47"/>
      <c r="H28" s="47"/>
      <c r="I28" s="47"/>
      <c r="J28" s="47"/>
    </row>
    <row r="29" spans="1:10" x14ac:dyDescent="0.25">
      <c r="B29" s="11" t="s">
        <v>914</v>
      </c>
      <c r="C29" s="12"/>
      <c r="D29" s="12"/>
      <c r="E29" s="13"/>
      <c r="G29" s="3" t="s">
        <v>912</v>
      </c>
    </row>
    <row r="30" spans="1:10" ht="13.5" thickBot="1" x14ac:dyDescent="0.3">
      <c r="A30" s="4" t="s">
        <v>8</v>
      </c>
      <c r="B30" s="14" t="s">
        <v>877</v>
      </c>
      <c r="C30" s="15"/>
      <c r="D30" s="15"/>
      <c r="E30" s="16"/>
      <c r="G30" s="17" t="s">
        <v>934</v>
      </c>
      <c r="H30" s="18"/>
      <c r="I30" s="18"/>
      <c r="J30" s="19"/>
    </row>
    <row r="31" spans="1:10" x14ac:dyDescent="0.25">
      <c r="A31" s="4">
        <v>1</v>
      </c>
      <c r="B31" s="42" t="s">
        <v>876</v>
      </c>
      <c r="C31" s="43"/>
      <c r="D31" s="44"/>
      <c r="E31" s="45" t="s">
        <v>44</v>
      </c>
      <c r="G31" s="20"/>
      <c r="H31" s="21"/>
      <c r="I31" s="21"/>
      <c r="J31" s="22"/>
    </row>
    <row r="32" spans="1:10" x14ac:dyDescent="0.25">
      <c r="A32" s="4">
        <v>2</v>
      </c>
      <c r="B32" s="23" t="s">
        <v>935</v>
      </c>
      <c r="C32" s="24"/>
      <c r="D32" s="35"/>
      <c r="E32" s="25" t="s">
        <v>44</v>
      </c>
      <c r="G32" s="23"/>
      <c r="H32" s="24"/>
      <c r="I32" s="24"/>
      <c r="J32" s="25"/>
    </row>
    <row r="33" spans="1:12" x14ac:dyDescent="0.25">
      <c r="A33" s="4">
        <v>3</v>
      </c>
      <c r="B33" s="32"/>
      <c r="E33" s="33"/>
      <c r="G33" s="23"/>
      <c r="H33" s="24"/>
      <c r="I33" s="24"/>
      <c r="J33" s="25"/>
    </row>
    <row r="34" spans="1:12" x14ac:dyDescent="0.25">
      <c r="A34" s="4">
        <v>4</v>
      </c>
      <c r="B34" s="32" t="s">
        <v>22</v>
      </c>
      <c r="E34" s="33" t="s">
        <v>43</v>
      </c>
      <c r="G34" s="26" t="s">
        <v>1083</v>
      </c>
      <c r="H34" s="27"/>
      <c r="I34" s="27"/>
      <c r="J34" s="28"/>
    </row>
    <row r="35" spans="1:12" x14ac:dyDescent="0.25">
      <c r="A35" s="4">
        <v>5</v>
      </c>
      <c r="B35" s="32" t="s">
        <v>23</v>
      </c>
      <c r="E35" s="33" t="s">
        <v>44</v>
      </c>
      <c r="G35" s="23"/>
      <c r="H35" s="24"/>
      <c r="I35" s="24"/>
      <c r="J35" s="25"/>
    </row>
    <row r="36" spans="1:12" x14ac:dyDescent="0.25">
      <c r="A36" s="4">
        <v>6</v>
      </c>
      <c r="B36" s="20" t="s">
        <v>931</v>
      </c>
      <c r="C36" s="21"/>
      <c r="D36" s="21"/>
      <c r="E36" s="22" t="s">
        <v>42</v>
      </c>
      <c r="G36" s="23"/>
      <c r="H36" s="24"/>
      <c r="I36" s="24"/>
      <c r="J36" s="25"/>
    </row>
    <row r="37" spans="1:12" x14ac:dyDescent="0.25">
      <c r="A37" s="4">
        <v>7</v>
      </c>
      <c r="G37" s="23"/>
      <c r="H37" s="24"/>
      <c r="I37" s="24"/>
      <c r="J37" s="25"/>
      <c r="L37" s="63"/>
    </row>
    <row r="38" spans="1:12" x14ac:dyDescent="0.25">
      <c r="A38" s="4">
        <v>8</v>
      </c>
      <c r="G38" s="23"/>
      <c r="H38" s="24"/>
      <c r="I38" s="24"/>
      <c r="J38" s="25"/>
    </row>
  </sheetData>
  <hyperlinks>
    <hyperlink ref="B1" location="WS_Navigation!B2" tooltip="go to navigation sheet" display="Navigate to Worksheet TOC (table of contents)" xr:uid="{6D86EE6B-9BB3-4AF0-A0EC-AE55B8377C7B}"/>
  </hyperlink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Line="0" autoPict="0" macro="[1]!calcGT">
                <anchor>
                  <from>
                    <xdr:col>5</xdr:col>
                    <xdr:colOff>76200</xdr:colOff>
                    <xdr:row>5</xdr:row>
                    <xdr:rowOff>95250</xdr:rowOff>
                  </from>
                  <to>
                    <xdr:col>6</xdr:col>
                    <xdr:colOff>2000250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Line="0" autoPict="0" macro="[1]!viewHideGT1">
                <anchor>
                  <from>
                    <xdr:col>5</xdr:col>
                    <xdr:colOff>76200</xdr:colOff>
                    <xdr:row>3</xdr:row>
                    <xdr:rowOff>85725</xdr:rowOff>
                  </from>
                  <to>
                    <xdr:col>6</xdr:col>
                    <xdr:colOff>2000250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55ABC-DD99-448F-B706-664A215C83C2}">
  <sheetPr codeName="Sheet10"/>
  <dimension ref="A1:J34"/>
  <sheetViews>
    <sheetView zoomScale="80" zoomScaleNormal="80" workbookViewId="0">
      <selection activeCell="H6" sqref="H6"/>
    </sheetView>
  </sheetViews>
  <sheetFormatPr defaultRowHeight="12.75" x14ac:dyDescent="0.25"/>
  <cols>
    <col min="1" max="1" width="6.7109375" style="3" customWidth="1"/>
    <col min="2" max="2" width="32.7109375" style="3" customWidth="1"/>
    <col min="3" max="3" width="11.7109375" style="3" customWidth="1"/>
    <col min="4" max="4" width="14.85546875" style="3" bestFit="1" customWidth="1"/>
    <col min="5" max="5" width="6.7109375" style="3" customWidth="1"/>
    <col min="6" max="6" width="2.7109375" style="3" customWidth="1"/>
    <col min="7" max="7" width="32.7109375" style="3" customWidth="1"/>
    <col min="8" max="8" width="11.7109375" style="3" customWidth="1"/>
    <col min="9" max="9" width="16.7109375" style="3" customWidth="1"/>
    <col min="10" max="16384" width="9.140625" style="3"/>
  </cols>
  <sheetData>
    <row r="1" spans="1:10" x14ac:dyDescent="0.25">
      <c r="A1" s="2" t="s">
        <v>1</v>
      </c>
      <c r="B1" s="1" t="s">
        <v>0</v>
      </c>
    </row>
    <row r="2" spans="1:10" x14ac:dyDescent="0.25">
      <c r="A2" s="2" t="s">
        <v>2</v>
      </c>
      <c r="B2" s="2" t="s">
        <v>997</v>
      </c>
    </row>
    <row r="3" spans="1:10" x14ac:dyDescent="0.25">
      <c r="A3" s="2" t="s">
        <v>3</v>
      </c>
      <c r="B3" s="1" t="str">
        <f>HYPERLINK("..\Maple\OrbitalMech\SpreadsheetFiles\OrbitTools(jb1).xlsm","Orbital Tools")</f>
        <v>Orbital Tools</v>
      </c>
      <c r="C3" s="3" t="s">
        <v>14</v>
      </c>
    </row>
    <row r="4" spans="1:10" x14ac:dyDescent="0.25">
      <c r="A4" s="2"/>
      <c r="B4" s="53" t="str">
        <f>HYPERLINK("#MainMenu!B7","Main Menu")</f>
        <v>Main Menu</v>
      </c>
    </row>
    <row r="5" spans="1:10" x14ac:dyDescent="0.25">
      <c r="A5" s="2"/>
      <c r="B5" s="10" t="s">
        <v>80</v>
      </c>
      <c r="I5" s="3" t="s">
        <v>1082</v>
      </c>
    </row>
    <row r="6" spans="1:10" x14ac:dyDescent="0.25">
      <c r="B6" s="3" t="s">
        <v>45</v>
      </c>
      <c r="C6" s="3" t="str">
        <f>MainMenu!C15</f>
        <v>Venus</v>
      </c>
      <c r="D6" s="3" t="s">
        <v>79</v>
      </c>
    </row>
    <row r="7" spans="1:10" x14ac:dyDescent="0.25">
      <c r="B7" s="3" t="s">
        <v>46</v>
      </c>
      <c r="C7" s="3" t="str">
        <f>MainMenu!C16</f>
        <v>Elliptical</v>
      </c>
      <c r="D7" s="3" t="s">
        <v>79</v>
      </c>
    </row>
    <row r="9" spans="1:10" x14ac:dyDescent="0.25">
      <c r="B9" s="11" t="s">
        <v>1007</v>
      </c>
      <c r="C9" s="12"/>
      <c r="D9" s="12"/>
      <c r="E9" s="13"/>
      <c r="G9" s="3" t="s">
        <v>1006</v>
      </c>
      <c r="H9" s="3" t="s">
        <v>1296</v>
      </c>
    </row>
    <row r="10" spans="1:10" ht="13.5" hidden="1" thickBot="1" x14ac:dyDescent="0.3">
      <c r="A10" s="4" t="s">
        <v>8</v>
      </c>
      <c r="B10" s="14" t="s">
        <v>1084</v>
      </c>
      <c r="C10" s="15"/>
      <c r="D10" s="15"/>
      <c r="E10" s="16"/>
      <c r="G10" s="17" t="s">
        <v>1008</v>
      </c>
      <c r="H10" s="18"/>
      <c r="I10" s="18"/>
      <c r="J10" s="19"/>
    </row>
    <row r="11" spans="1:10" hidden="1" x14ac:dyDescent="0.25">
      <c r="A11" s="4">
        <v>1</v>
      </c>
      <c r="B11" s="20" t="s">
        <v>1076</v>
      </c>
      <c r="C11" s="21" t="s">
        <v>1078</v>
      </c>
      <c r="D11" s="34">
        <v>7.74</v>
      </c>
      <c r="E11" s="22" t="s">
        <v>1005</v>
      </c>
      <c r="G11" s="42" t="s">
        <v>1076</v>
      </c>
      <c r="H11" s="43" t="s">
        <v>1078</v>
      </c>
      <c r="I11" s="43">
        <v>7.74</v>
      </c>
      <c r="J11" s="45" t="s">
        <v>1005</v>
      </c>
    </row>
    <row r="12" spans="1:10" hidden="1" x14ac:dyDescent="0.25">
      <c r="A12" s="4">
        <v>2</v>
      </c>
      <c r="B12" s="23" t="s">
        <v>1016</v>
      </c>
      <c r="C12" s="24" t="s">
        <v>1010</v>
      </c>
      <c r="D12" s="35">
        <v>21.73</v>
      </c>
      <c r="E12" s="25" t="s">
        <v>44</v>
      </c>
      <c r="G12" s="20" t="s">
        <v>1016</v>
      </c>
      <c r="H12" s="21" t="s">
        <v>1010</v>
      </c>
      <c r="I12" s="21">
        <v>21.73</v>
      </c>
      <c r="J12" s="22" t="s">
        <v>44</v>
      </c>
    </row>
    <row r="13" spans="1:10" ht="13.5" hidden="1" thickBot="1" x14ac:dyDescent="0.3">
      <c r="A13" s="4">
        <v>3</v>
      </c>
      <c r="B13" s="17" t="s">
        <v>1085</v>
      </c>
      <c r="C13" s="18"/>
      <c r="D13" s="18"/>
      <c r="E13" s="19"/>
      <c r="G13" s="20"/>
      <c r="H13" s="21"/>
      <c r="I13" s="21"/>
      <c r="J13" s="22"/>
    </row>
    <row r="14" spans="1:10" hidden="1" x14ac:dyDescent="0.25">
      <c r="A14" s="4">
        <v>4</v>
      </c>
      <c r="B14" s="20" t="s">
        <v>1076</v>
      </c>
      <c r="C14" s="21" t="s">
        <v>1078</v>
      </c>
      <c r="D14" s="34"/>
      <c r="E14" s="22" t="s">
        <v>1005</v>
      </c>
      <c r="G14" s="20"/>
      <c r="H14" s="21"/>
      <c r="I14" s="21"/>
      <c r="J14" s="22"/>
    </row>
    <row r="15" spans="1:10" hidden="1" x14ac:dyDescent="0.25">
      <c r="A15" s="4">
        <v>5</v>
      </c>
      <c r="B15" s="23" t="s">
        <v>1014</v>
      </c>
      <c r="C15" s="24" t="s">
        <v>1072</v>
      </c>
      <c r="D15" s="35"/>
      <c r="E15" s="25" t="s">
        <v>44</v>
      </c>
      <c r="G15" s="20"/>
      <c r="H15" s="21"/>
      <c r="I15" s="21"/>
      <c r="J15" s="22"/>
    </row>
    <row r="16" spans="1:10" hidden="1" x14ac:dyDescent="0.25">
      <c r="A16" s="4">
        <v>6</v>
      </c>
      <c r="B16" s="23" t="s">
        <v>1012</v>
      </c>
      <c r="C16" s="24" t="s">
        <v>1074</v>
      </c>
      <c r="D16" s="35"/>
      <c r="E16" s="25" t="s">
        <v>44</v>
      </c>
      <c r="G16" s="26" t="s">
        <v>1009</v>
      </c>
      <c r="H16" s="27"/>
      <c r="I16" s="27"/>
      <c r="J16" s="28"/>
    </row>
    <row r="17" spans="1:10" hidden="1" x14ac:dyDescent="0.25">
      <c r="A17" s="4">
        <v>7</v>
      </c>
      <c r="B17" s="23" t="s">
        <v>1015</v>
      </c>
      <c r="C17" s="24" t="s">
        <v>1073</v>
      </c>
      <c r="D17" s="35"/>
      <c r="E17" s="25" t="s">
        <v>44</v>
      </c>
      <c r="G17" s="23" t="s">
        <v>1016</v>
      </c>
      <c r="H17" s="24" t="s">
        <v>1010</v>
      </c>
      <c r="I17" s="38">
        <v>21.73</v>
      </c>
      <c r="J17" s="25" t="s">
        <v>44</v>
      </c>
    </row>
    <row r="18" spans="1:10" hidden="1" x14ac:dyDescent="0.25">
      <c r="A18" s="4">
        <v>8</v>
      </c>
      <c r="B18" s="23" t="s">
        <v>1013</v>
      </c>
      <c r="C18" s="24" t="s">
        <v>1075</v>
      </c>
      <c r="D18" s="35"/>
      <c r="E18" s="25" t="s">
        <v>44</v>
      </c>
      <c r="G18" s="23" t="s">
        <v>936</v>
      </c>
      <c r="H18" s="24" t="s">
        <v>982</v>
      </c>
      <c r="I18" s="38">
        <v>0</v>
      </c>
      <c r="J18" s="25" t="s">
        <v>44</v>
      </c>
    </row>
    <row r="19" spans="1:10" hidden="1" x14ac:dyDescent="0.25">
      <c r="A19" s="4">
        <v>9</v>
      </c>
      <c r="B19" s="29"/>
      <c r="C19" s="30"/>
      <c r="D19" s="30"/>
      <c r="E19" s="31"/>
      <c r="G19" s="23" t="s">
        <v>1077</v>
      </c>
      <c r="H19" s="24" t="s">
        <v>1011</v>
      </c>
      <c r="I19" s="64">
        <v>2.9179113199333004</v>
      </c>
      <c r="J19" s="25" t="s">
        <v>1005</v>
      </c>
    </row>
    <row r="20" spans="1:10" hidden="1" x14ac:dyDescent="0.25">
      <c r="A20" s="4">
        <v>10</v>
      </c>
      <c r="B20" s="32" t="s">
        <v>22</v>
      </c>
      <c r="E20" s="33" t="s">
        <v>43</v>
      </c>
    </row>
    <row r="21" spans="1:10" hidden="1" x14ac:dyDescent="0.25">
      <c r="A21" s="4">
        <v>11</v>
      </c>
      <c r="B21" s="32" t="s">
        <v>23</v>
      </c>
      <c r="E21" s="33" t="s">
        <v>44</v>
      </c>
    </row>
    <row r="22" spans="1:10" hidden="1" x14ac:dyDescent="0.25">
      <c r="A22" s="4">
        <v>12</v>
      </c>
      <c r="B22" s="20" t="s">
        <v>931</v>
      </c>
      <c r="C22" s="21"/>
      <c r="D22" s="21"/>
      <c r="E22" s="22" t="s">
        <v>42</v>
      </c>
    </row>
    <row r="23" spans="1:10" x14ac:dyDescent="0.25">
      <c r="B23" s="47"/>
      <c r="C23" s="47"/>
      <c r="D23" s="47"/>
      <c r="E23" s="47"/>
      <c r="F23" s="47"/>
      <c r="G23" s="47"/>
      <c r="H23" s="47"/>
      <c r="I23" s="47"/>
      <c r="J23" s="47"/>
    </row>
    <row r="24" spans="1:10" x14ac:dyDescent="0.25">
      <c r="B24" s="11" t="s">
        <v>1287</v>
      </c>
      <c r="C24" s="12"/>
      <c r="D24" s="12"/>
      <c r="E24" s="13"/>
      <c r="G24" s="3" t="s">
        <v>1288</v>
      </c>
    </row>
    <row r="25" spans="1:10" ht="13.5" thickBot="1" x14ac:dyDescent="0.3">
      <c r="A25" s="4" t="s">
        <v>8</v>
      </c>
      <c r="B25" s="14" t="s">
        <v>1291</v>
      </c>
      <c r="C25" s="15"/>
      <c r="D25" s="15"/>
      <c r="E25" s="16"/>
      <c r="G25" s="17" t="s">
        <v>1289</v>
      </c>
      <c r="H25" s="18"/>
      <c r="I25" s="18"/>
      <c r="J25" s="19"/>
    </row>
    <row r="26" spans="1:10" x14ac:dyDescent="0.25">
      <c r="A26" s="4">
        <v>1</v>
      </c>
      <c r="B26" s="42" t="s">
        <v>1292</v>
      </c>
      <c r="C26" s="43"/>
      <c r="D26" s="43"/>
      <c r="E26" s="45"/>
      <c r="G26" s="42" t="s">
        <v>1295</v>
      </c>
      <c r="H26" s="43"/>
      <c r="I26" s="43"/>
      <c r="J26" s="45"/>
    </row>
    <row r="27" spans="1:10" x14ac:dyDescent="0.25">
      <c r="A27" s="4">
        <v>2</v>
      </c>
      <c r="B27" s="23"/>
      <c r="C27" s="24"/>
      <c r="D27" s="24"/>
      <c r="E27" s="25"/>
      <c r="G27" s="20"/>
      <c r="H27" s="21"/>
      <c r="I27" s="21"/>
      <c r="J27" s="22"/>
    </row>
    <row r="28" spans="1:10" x14ac:dyDescent="0.25">
      <c r="A28" s="4">
        <v>3</v>
      </c>
      <c r="B28" s="29"/>
      <c r="C28" s="30"/>
      <c r="D28" s="30"/>
      <c r="E28" s="31"/>
      <c r="G28" s="26" t="s">
        <v>1290</v>
      </c>
      <c r="H28" s="27"/>
      <c r="I28" s="27"/>
      <c r="J28" s="28"/>
    </row>
    <row r="29" spans="1:10" x14ac:dyDescent="0.25">
      <c r="A29" s="4">
        <v>4</v>
      </c>
      <c r="B29" s="32" t="s">
        <v>22</v>
      </c>
      <c r="E29" s="33" t="s">
        <v>43</v>
      </c>
      <c r="G29" s="23" t="s">
        <v>1293</v>
      </c>
      <c r="H29" s="24"/>
      <c r="I29" s="38"/>
      <c r="J29" s="25"/>
    </row>
    <row r="30" spans="1:10" x14ac:dyDescent="0.25">
      <c r="A30" s="4">
        <v>5</v>
      </c>
      <c r="B30" s="32" t="s">
        <v>23</v>
      </c>
      <c r="E30" s="33" t="s">
        <v>44</v>
      </c>
      <c r="G30" s="23" t="s">
        <v>1294</v>
      </c>
      <c r="H30" s="24"/>
      <c r="I30" s="38"/>
      <c r="J30" s="25"/>
    </row>
    <row r="31" spans="1:10" x14ac:dyDescent="0.25">
      <c r="A31" s="4">
        <v>6</v>
      </c>
      <c r="B31" s="20" t="s">
        <v>931</v>
      </c>
      <c r="C31" s="21"/>
      <c r="D31" s="21"/>
      <c r="E31" s="22" t="s">
        <v>42</v>
      </c>
    </row>
    <row r="32" spans="1:10" x14ac:dyDescent="0.25">
      <c r="A32" s="4"/>
    </row>
    <row r="33" spans="1:9" x14ac:dyDescent="0.25">
      <c r="A33" s="4"/>
    </row>
    <row r="34" spans="1:9" x14ac:dyDescent="0.25">
      <c r="A34" s="4"/>
      <c r="I34" s="86"/>
    </row>
  </sheetData>
  <hyperlinks>
    <hyperlink ref="B1" location="WS_Navigation!B2" tooltip="go to navigation sheet" display="Navigate to Worksheet TOC (table of contents)" xr:uid="{924A25C5-0268-4495-BCA1-3C15259109C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Line="0" autoPict="0" macro="[1]!calcPP">
                <anchor>
                  <from>
                    <xdr:col>5</xdr:col>
                    <xdr:colOff>76200</xdr:colOff>
                    <xdr:row>5</xdr:row>
                    <xdr:rowOff>95250</xdr:rowOff>
                  </from>
                  <to>
                    <xdr:col>6</xdr:col>
                    <xdr:colOff>2000250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Line="0" autoPict="0" macro="[1]!viewHidePP">
                <anchor>
                  <from>
                    <xdr:col>5</xdr:col>
                    <xdr:colOff>76200</xdr:colOff>
                    <xdr:row>3</xdr:row>
                    <xdr:rowOff>85725</xdr:rowOff>
                  </from>
                  <to>
                    <xdr:col>6</xdr:col>
                    <xdr:colOff>2000250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B647-AF52-46EC-B734-FB70BD4336F3}">
  <sheetPr codeName="Sheet11"/>
  <dimension ref="A1:L86"/>
  <sheetViews>
    <sheetView tabSelected="1" zoomScale="80" zoomScaleNormal="80" workbookViewId="0">
      <selection activeCell="B3" sqref="B3"/>
    </sheetView>
  </sheetViews>
  <sheetFormatPr defaultRowHeight="12.75" x14ac:dyDescent="0.25"/>
  <cols>
    <col min="1" max="1" width="6.7109375" style="3" customWidth="1"/>
    <col min="2" max="2" width="43.7109375" style="3" customWidth="1"/>
    <col min="3" max="3" width="13.7109375" style="3" customWidth="1"/>
    <col min="4" max="4" width="20.7109375" style="3" customWidth="1"/>
    <col min="5" max="5" width="6.7109375" style="3" customWidth="1"/>
    <col min="6" max="6" width="2.7109375" style="3" customWidth="1"/>
    <col min="7" max="7" width="43.7109375" style="3" customWidth="1"/>
    <col min="8" max="8" width="11.7109375" style="3" customWidth="1"/>
    <col min="9" max="9" width="20.7109375" style="3" customWidth="1"/>
    <col min="10" max="10" width="9.140625" style="3"/>
    <col min="11" max="11" width="2.7109375" style="3" customWidth="1"/>
    <col min="12" max="16384" width="9.140625" style="3"/>
  </cols>
  <sheetData>
    <row r="1" spans="1:12" x14ac:dyDescent="0.25">
      <c r="A1" s="2" t="s">
        <v>1</v>
      </c>
      <c r="B1" s="1" t="s">
        <v>0</v>
      </c>
    </row>
    <row r="2" spans="1:12" x14ac:dyDescent="0.25">
      <c r="A2" s="2" t="s">
        <v>2</v>
      </c>
      <c r="B2" s="2" t="s">
        <v>1004</v>
      </c>
    </row>
    <row r="3" spans="1:12" x14ac:dyDescent="0.25">
      <c r="A3" s="2" t="s">
        <v>3</v>
      </c>
      <c r="B3" s="1" t="str">
        <f>HYPERLINK("..\Maple\OrbitalMech\SpreadsheetFiles\OrbitTools(jb1).xlsm","Orbital Tools")</f>
        <v>Orbital Tools</v>
      </c>
      <c r="C3" s="3" t="s">
        <v>14</v>
      </c>
    </row>
    <row r="4" spans="1:12" x14ac:dyDescent="0.25">
      <c r="A4" s="2"/>
      <c r="B4" s="53" t="str">
        <f>HYPERLINK("#MainMenu!B7","Main Menu")</f>
        <v>Main Menu</v>
      </c>
      <c r="I4" s="3" t="s">
        <v>1172</v>
      </c>
    </row>
    <row r="5" spans="1:12" x14ac:dyDescent="0.25">
      <c r="A5" s="2"/>
      <c r="B5" s="10" t="s">
        <v>80</v>
      </c>
      <c r="I5" s="3" t="s">
        <v>1173</v>
      </c>
    </row>
    <row r="6" spans="1:12" x14ac:dyDescent="0.25">
      <c r="B6" s="3" t="s">
        <v>45</v>
      </c>
      <c r="C6" s="3" t="str">
        <f>MainMenu!C15</f>
        <v>Venus</v>
      </c>
      <c r="D6" s="3" t="s">
        <v>79</v>
      </c>
      <c r="I6" s="3" t="s">
        <v>1174</v>
      </c>
    </row>
    <row r="7" spans="1:12" x14ac:dyDescent="0.25">
      <c r="B7" s="3" t="s">
        <v>46</v>
      </c>
      <c r="C7" s="3" t="str">
        <f>MainMenu!C16</f>
        <v>Elliptical</v>
      </c>
      <c r="D7" s="3" t="s">
        <v>79</v>
      </c>
      <c r="I7" s="3" t="s">
        <v>1175</v>
      </c>
    </row>
    <row r="9" spans="1:12" x14ac:dyDescent="0.25">
      <c r="A9" s="65" t="s">
        <v>1115</v>
      </c>
      <c r="B9" s="66" t="s">
        <v>1114</v>
      </c>
    </row>
    <row r="10" spans="1:12" x14ac:dyDescent="0.25">
      <c r="A10" s="67">
        <v>1</v>
      </c>
      <c r="B10" s="33" t="s">
        <v>1000</v>
      </c>
    </row>
    <row r="11" spans="1:12" x14ac:dyDescent="0.25">
      <c r="A11" s="67">
        <v>2</v>
      </c>
      <c r="B11" s="33" t="s">
        <v>1001</v>
      </c>
      <c r="L11" s="117"/>
    </row>
    <row r="12" spans="1:12" x14ac:dyDescent="0.25">
      <c r="A12" s="67">
        <v>3</v>
      </c>
      <c r="B12" s="33" t="s">
        <v>1106</v>
      </c>
      <c r="L12" s="117"/>
    </row>
    <row r="13" spans="1:12" x14ac:dyDescent="0.25">
      <c r="A13" s="67">
        <v>4</v>
      </c>
      <c r="B13" s="33" t="s">
        <v>1002</v>
      </c>
      <c r="L13" s="117"/>
    </row>
    <row r="14" spans="1:12" x14ac:dyDescent="0.25">
      <c r="A14" s="68">
        <v>5</v>
      </c>
      <c r="B14" s="22" t="s">
        <v>1003</v>
      </c>
    </row>
    <row r="17" spans="1:10" x14ac:dyDescent="0.25">
      <c r="B17" s="11" t="s">
        <v>1093</v>
      </c>
      <c r="C17" s="12"/>
      <c r="D17" s="12"/>
      <c r="E17" s="13"/>
      <c r="G17" s="3" t="s">
        <v>1187</v>
      </c>
      <c r="H17" s="3" t="s">
        <v>1495</v>
      </c>
    </row>
    <row r="18" spans="1:10" ht="13.5" hidden="1" thickBot="1" x14ac:dyDescent="0.3">
      <c r="A18" s="4" t="s">
        <v>8</v>
      </c>
      <c r="B18" s="85" t="s">
        <v>1097</v>
      </c>
      <c r="C18" s="15"/>
      <c r="D18" s="15"/>
      <c r="E18" s="16"/>
      <c r="G18" s="17" t="s">
        <v>1094</v>
      </c>
      <c r="H18" s="18"/>
      <c r="I18" s="18"/>
      <c r="J18" s="19"/>
    </row>
    <row r="19" spans="1:10" hidden="1" x14ac:dyDescent="0.25">
      <c r="A19" s="4">
        <v>1</v>
      </c>
      <c r="B19" s="20" t="s">
        <v>1101</v>
      </c>
      <c r="C19" s="21" t="s">
        <v>1258</v>
      </c>
      <c r="D19" s="34"/>
      <c r="E19" s="22"/>
      <c r="G19" s="42" t="s">
        <v>1100</v>
      </c>
      <c r="H19" s="43" t="s">
        <v>1260</v>
      </c>
      <c r="I19" s="43">
        <v>37</v>
      </c>
      <c r="J19" s="45" t="s">
        <v>44</v>
      </c>
    </row>
    <row r="20" spans="1:10" hidden="1" x14ac:dyDescent="0.25">
      <c r="A20" s="4">
        <v>2</v>
      </c>
      <c r="B20" s="23" t="s">
        <v>1100</v>
      </c>
      <c r="C20" s="24" t="s">
        <v>1260</v>
      </c>
      <c r="D20" s="35"/>
      <c r="E20" s="25" t="s">
        <v>44</v>
      </c>
      <c r="G20" s="20" t="s">
        <v>1103</v>
      </c>
      <c r="H20" s="21" t="s">
        <v>1261</v>
      </c>
      <c r="I20" s="21">
        <v>5</v>
      </c>
      <c r="J20" s="22"/>
    </row>
    <row r="21" spans="1:10" hidden="1" x14ac:dyDescent="0.25">
      <c r="A21" s="4">
        <v>3</v>
      </c>
      <c r="B21" s="23" t="s">
        <v>1102</v>
      </c>
      <c r="C21" s="24" t="s">
        <v>1259</v>
      </c>
      <c r="D21" s="35"/>
      <c r="E21" s="25"/>
      <c r="G21" s="20" t="s">
        <v>1102</v>
      </c>
      <c r="H21" s="21" t="s">
        <v>1259</v>
      </c>
      <c r="I21" s="21">
        <v>7</v>
      </c>
      <c r="J21" s="22"/>
    </row>
    <row r="22" spans="1:10" hidden="1" x14ac:dyDescent="0.25">
      <c r="A22" s="4">
        <v>4</v>
      </c>
      <c r="B22" s="84" t="s">
        <v>1096</v>
      </c>
      <c r="C22" s="27"/>
      <c r="D22" s="27"/>
      <c r="E22" s="28"/>
      <c r="G22" s="26" t="s">
        <v>1095</v>
      </c>
      <c r="H22" s="27"/>
      <c r="I22" s="27"/>
      <c r="J22" s="28"/>
    </row>
    <row r="23" spans="1:10" hidden="1" x14ac:dyDescent="0.25">
      <c r="A23" s="4">
        <v>5</v>
      </c>
      <c r="B23" s="23" t="s">
        <v>1103</v>
      </c>
      <c r="C23" s="24" t="s">
        <v>1261</v>
      </c>
      <c r="D23" s="35"/>
      <c r="E23" s="25"/>
      <c r="G23" s="23" t="s">
        <v>1104</v>
      </c>
      <c r="H23" s="24" t="s">
        <v>1262</v>
      </c>
      <c r="I23" s="38">
        <v>57.409427177925863</v>
      </c>
      <c r="J23" s="25" t="s">
        <v>44</v>
      </c>
    </row>
    <row r="24" spans="1:10" hidden="1" x14ac:dyDescent="0.25">
      <c r="A24" s="4">
        <v>6</v>
      </c>
      <c r="B24" s="23" t="s">
        <v>1102</v>
      </c>
      <c r="C24" s="24" t="s">
        <v>1259</v>
      </c>
      <c r="D24" s="35"/>
      <c r="E24" s="25"/>
      <c r="G24" s="23" t="s">
        <v>1486</v>
      </c>
      <c r="H24" s="24" t="s">
        <v>1487</v>
      </c>
      <c r="I24" s="38">
        <v>85.590572822074137</v>
      </c>
      <c r="J24" s="25" t="s">
        <v>44</v>
      </c>
    </row>
    <row r="25" spans="1:10" hidden="1" x14ac:dyDescent="0.25">
      <c r="A25" s="4">
        <v>7</v>
      </c>
      <c r="B25" s="23" t="s">
        <v>1101</v>
      </c>
      <c r="C25" s="24" t="s">
        <v>1258</v>
      </c>
      <c r="D25" s="35"/>
      <c r="E25" s="25"/>
      <c r="G25" s="23" t="s">
        <v>1101</v>
      </c>
      <c r="H25" s="24" t="s">
        <v>1258</v>
      </c>
      <c r="I25" s="64">
        <v>8.2836093931406563</v>
      </c>
      <c r="J25" s="25"/>
    </row>
    <row r="26" spans="1:10" hidden="1" x14ac:dyDescent="0.25">
      <c r="A26" s="4">
        <v>8</v>
      </c>
      <c r="B26" s="84" t="s">
        <v>1099</v>
      </c>
      <c r="C26" s="24"/>
      <c r="D26" s="27"/>
      <c r="E26" s="28"/>
      <c r="G26" s="23" t="s">
        <v>1488</v>
      </c>
      <c r="H26" s="24"/>
      <c r="I26" s="38"/>
      <c r="J26" s="25"/>
    </row>
    <row r="27" spans="1:10" hidden="1" x14ac:dyDescent="0.25">
      <c r="A27" s="4">
        <v>9</v>
      </c>
      <c r="B27" s="23" t="s">
        <v>1100</v>
      </c>
      <c r="C27" s="24" t="s">
        <v>1260</v>
      </c>
      <c r="D27" s="35"/>
      <c r="E27" s="25" t="s">
        <v>44</v>
      </c>
      <c r="G27" s="23" t="s">
        <v>1489</v>
      </c>
      <c r="H27" s="24" t="s">
        <v>1490</v>
      </c>
      <c r="I27" s="38">
        <v>122.59057282207415</v>
      </c>
      <c r="J27" s="25" t="s">
        <v>44</v>
      </c>
    </row>
    <row r="28" spans="1:10" hidden="1" x14ac:dyDescent="0.25">
      <c r="A28" s="4">
        <v>10</v>
      </c>
      <c r="B28" s="23" t="s">
        <v>1104</v>
      </c>
      <c r="C28" s="24" t="s">
        <v>1262</v>
      </c>
      <c r="D28" s="35"/>
      <c r="E28" s="25" t="s">
        <v>44</v>
      </c>
      <c r="G28" s="23" t="s">
        <v>1491</v>
      </c>
      <c r="H28" s="24" t="s">
        <v>1492</v>
      </c>
      <c r="I28" s="38">
        <v>20.409427177925849</v>
      </c>
      <c r="J28" s="25" t="s">
        <v>44</v>
      </c>
    </row>
    <row r="29" spans="1:10" hidden="1" x14ac:dyDescent="0.25">
      <c r="A29" s="4">
        <v>11</v>
      </c>
      <c r="B29" s="23" t="s">
        <v>1102</v>
      </c>
      <c r="C29" s="24" t="s">
        <v>1259</v>
      </c>
      <c r="D29" s="35"/>
      <c r="E29" s="25"/>
      <c r="G29" s="23" t="s">
        <v>1493</v>
      </c>
      <c r="H29" s="24" t="s">
        <v>1494</v>
      </c>
      <c r="I29" s="64">
        <v>2.8972877475214389</v>
      </c>
      <c r="J29" s="25"/>
    </row>
    <row r="30" spans="1:10" hidden="1" x14ac:dyDescent="0.25">
      <c r="A30" s="4">
        <v>12</v>
      </c>
      <c r="B30" s="116" t="s">
        <v>1263</v>
      </c>
      <c r="C30" s="24"/>
      <c r="D30" s="27"/>
      <c r="E30" s="28"/>
    </row>
    <row r="31" spans="1:10" hidden="1" x14ac:dyDescent="0.25">
      <c r="A31" s="4">
        <v>13</v>
      </c>
      <c r="B31" s="23" t="s">
        <v>1100</v>
      </c>
      <c r="C31" s="24" t="s">
        <v>1260</v>
      </c>
      <c r="D31" s="35">
        <v>37</v>
      </c>
      <c r="E31" s="25" t="s">
        <v>44</v>
      </c>
    </row>
    <row r="32" spans="1:10" hidden="1" x14ac:dyDescent="0.25">
      <c r="A32" s="4">
        <v>14</v>
      </c>
      <c r="B32" s="23" t="s">
        <v>1103</v>
      </c>
      <c r="C32" s="24" t="s">
        <v>1261</v>
      </c>
      <c r="D32" s="35">
        <v>5</v>
      </c>
      <c r="E32" s="25"/>
    </row>
    <row r="33" spans="1:10" hidden="1" x14ac:dyDescent="0.25">
      <c r="A33" s="4">
        <v>15</v>
      </c>
      <c r="B33" s="23" t="s">
        <v>1102</v>
      </c>
      <c r="C33" s="24" t="s">
        <v>1259</v>
      </c>
      <c r="D33" s="35">
        <v>7</v>
      </c>
      <c r="E33" s="25"/>
    </row>
    <row r="34" spans="1:10" hidden="1" x14ac:dyDescent="0.25">
      <c r="A34" s="4">
        <v>16</v>
      </c>
      <c r="B34" s="32"/>
      <c r="E34" s="33"/>
    </row>
    <row r="35" spans="1:10" hidden="1" x14ac:dyDescent="0.25">
      <c r="A35" s="4">
        <v>17</v>
      </c>
      <c r="B35" s="32" t="s">
        <v>1098</v>
      </c>
      <c r="E35" s="33"/>
    </row>
    <row r="36" spans="1:10" hidden="1" x14ac:dyDescent="0.25">
      <c r="A36" s="4">
        <v>18</v>
      </c>
      <c r="B36" s="20" t="s">
        <v>23</v>
      </c>
      <c r="C36" s="21"/>
      <c r="D36" s="21"/>
      <c r="E36" s="22" t="s">
        <v>44</v>
      </c>
    </row>
    <row r="37" spans="1:10" x14ac:dyDescent="0.25">
      <c r="B37" s="47"/>
      <c r="C37" s="47"/>
      <c r="D37" s="47"/>
      <c r="E37" s="47"/>
      <c r="F37" s="47"/>
      <c r="G37" s="47"/>
      <c r="H37" s="47"/>
      <c r="I37" s="47"/>
      <c r="J37" s="47"/>
    </row>
    <row r="38" spans="1:10" x14ac:dyDescent="0.25">
      <c r="B38" s="11" t="s">
        <v>1105</v>
      </c>
      <c r="C38" s="12"/>
      <c r="D38" s="12"/>
      <c r="E38" s="13"/>
      <c r="G38" s="3" t="s">
        <v>1152</v>
      </c>
      <c r="H38" s="3" t="s">
        <v>1519</v>
      </c>
    </row>
    <row r="39" spans="1:10" ht="13.5" thickBot="1" x14ac:dyDescent="0.3">
      <c r="A39" s="4" t="s">
        <v>8</v>
      </c>
      <c r="B39" s="14" t="s">
        <v>1182</v>
      </c>
      <c r="C39" s="15"/>
      <c r="D39" s="15"/>
      <c r="E39" s="16"/>
      <c r="G39" s="17" t="s">
        <v>1135</v>
      </c>
      <c r="H39" s="18"/>
      <c r="I39" s="18"/>
      <c r="J39" s="19"/>
    </row>
    <row r="40" spans="1:10" x14ac:dyDescent="0.25">
      <c r="A40" s="4">
        <v>1</v>
      </c>
      <c r="B40" s="20" t="s">
        <v>1181</v>
      </c>
      <c r="C40" s="21" t="s">
        <v>1149</v>
      </c>
      <c r="D40" s="133" t="s">
        <v>1517</v>
      </c>
      <c r="E40" s="25" t="s">
        <v>1194</v>
      </c>
      <c r="G40" s="42" t="s">
        <v>1181</v>
      </c>
      <c r="H40" s="43" t="s">
        <v>1149</v>
      </c>
      <c r="I40" s="72">
        <v>43405</v>
      </c>
      <c r="J40" s="45" t="s">
        <v>1194</v>
      </c>
    </row>
    <row r="41" spans="1:10" x14ac:dyDescent="0.25">
      <c r="A41" s="4">
        <v>2</v>
      </c>
      <c r="B41" s="26" t="s">
        <v>1180</v>
      </c>
      <c r="C41" s="27"/>
      <c r="D41" s="27"/>
      <c r="E41" s="28"/>
      <c r="G41" s="26" t="s">
        <v>1136</v>
      </c>
      <c r="H41" s="27"/>
      <c r="I41" s="27"/>
      <c r="J41" s="28"/>
    </row>
    <row r="42" spans="1:10" x14ac:dyDescent="0.25">
      <c r="A42" s="4">
        <v>3</v>
      </c>
      <c r="B42" s="23" t="s">
        <v>1148</v>
      </c>
      <c r="C42" s="24" t="s">
        <v>1134</v>
      </c>
      <c r="D42" s="73"/>
      <c r="E42" s="25" t="s">
        <v>1195</v>
      </c>
      <c r="G42" s="23" t="s">
        <v>1148</v>
      </c>
      <c r="H42" s="24" t="s">
        <v>1134</v>
      </c>
      <c r="I42" s="60">
        <v>2458423.5</v>
      </c>
      <c r="J42" s="25" t="s">
        <v>1195</v>
      </c>
    </row>
    <row r="43" spans="1:10" x14ac:dyDescent="0.25">
      <c r="A43" s="4">
        <v>4</v>
      </c>
      <c r="G43" s="20" t="s">
        <v>1150</v>
      </c>
      <c r="H43" s="24" t="s">
        <v>1151</v>
      </c>
      <c r="I43" s="71" t="s">
        <v>1517</v>
      </c>
      <c r="J43" s="25" t="s">
        <v>1194</v>
      </c>
    </row>
    <row r="44" spans="1:10" x14ac:dyDescent="0.25">
      <c r="A44" s="4">
        <v>5</v>
      </c>
      <c r="G44" s="23" t="s">
        <v>1133</v>
      </c>
      <c r="H44" s="24" t="s">
        <v>1149</v>
      </c>
      <c r="I44" s="71" t="s">
        <v>1517</v>
      </c>
      <c r="J44" s="25" t="s">
        <v>1194</v>
      </c>
    </row>
    <row r="45" spans="1:10" x14ac:dyDescent="0.25">
      <c r="B45" s="47"/>
      <c r="C45" s="47"/>
      <c r="D45" s="47"/>
      <c r="E45" s="47"/>
      <c r="F45" s="47"/>
      <c r="G45" s="47"/>
      <c r="H45" s="47"/>
      <c r="I45" s="47"/>
      <c r="J45" s="47"/>
    </row>
    <row r="46" spans="1:10" x14ac:dyDescent="0.25">
      <c r="B46" s="11" t="s">
        <v>1183</v>
      </c>
      <c r="C46" s="12"/>
      <c r="D46" s="12"/>
      <c r="E46" s="13"/>
      <c r="G46" s="3" t="s">
        <v>1186</v>
      </c>
      <c r="H46" s="3" t="s">
        <v>1518</v>
      </c>
    </row>
    <row r="47" spans="1:10" ht="13.5" hidden="1" thickBot="1" x14ac:dyDescent="0.3">
      <c r="A47" s="4" t="s">
        <v>8</v>
      </c>
      <c r="B47" s="14" t="s">
        <v>1196</v>
      </c>
      <c r="C47" s="15"/>
      <c r="D47" s="15"/>
      <c r="E47" s="16"/>
      <c r="G47" s="17" t="s">
        <v>1184</v>
      </c>
      <c r="H47" s="18"/>
      <c r="I47" s="18"/>
      <c r="J47" s="19"/>
    </row>
    <row r="48" spans="1:10" hidden="1" x14ac:dyDescent="0.25">
      <c r="A48" s="4">
        <v>1</v>
      </c>
      <c r="B48" s="23" t="s">
        <v>1148</v>
      </c>
      <c r="C48" s="24" t="s">
        <v>1134</v>
      </c>
      <c r="D48" s="69"/>
      <c r="E48" s="25" t="s">
        <v>1190</v>
      </c>
      <c r="G48" s="42" t="s">
        <v>1192</v>
      </c>
      <c r="H48" s="43" t="s">
        <v>88</v>
      </c>
      <c r="I48" s="43"/>
      <c r="J48" s="45"/>
    </row>
    <row r="49" spans="1:10" hidden="1" x14ac:dyDescent="0.25">
      <c r="A49" s="4">
        <v>2</v>
      </c>
      <c r="B49" s="20" t="s">
        <v>1181</v>
      </c>
      <c r="C49" s="24" t="s">
        <v>1197</v>
      </c>
      <c r="D49" s="104" t="s">
        <v>1331</v>
      </c>
      <c r="E49" s="25" t="s">
        <v>1191</v>
      </c>
      <c r="G49" s="23" t="s">
        <v>1181</v>
      </c>
      <c r="H49" s="24" t="s">
        <v>1197</v>
      </c>
      <c r="I49" s="88">
        <v>32350</v>
      </c>
      <c r="J49" s="25" t="s">
        <v>1191</v>
      </c>
    </row>
    <row r="50" spans="1:10" hidden="1" x14ac:dyDescent="0.25">
      <c r="A50" s="4">
        <v>3</v>
      </c>
      <c r="B50" s="20" t="s">
        <v>1377</v>
      </c>
      <c r="C50" s="24"/>
      <c r="D50" s="98" t="s">
        <v>1373</v>
      </c>
      <c r="E50" s="25"/>
      <c r="G50" s="26" t="s">
        <v>1185</v>
      </c>
      <c r="H50" s="27"/>
      <c r="I50" s="27"/>
      <c r="J50" s="28"/>
    </row>
    <row r="51" spans="1:10" hidden="1" x14ac:dyDescent="0.25">
      <c r="A51" s="4">
        <v>4</v>
      </c>
      <c r="B51" s="29"/>
      <c r="C51" s="30"/>
      <c r="D51" s="30"/>
      <c r="E51" s="31"/>
      <c r="G51" s="20" t="s">
        <v>1188</v>
      </c>
      <c r="H51" s="21" t="s">
        <v>1189</v>
      </c>
      <c r="I51" s="75">
        <v>2000</v>
      </c>
      <c r="J51" s="22"/>
    </row>
    <row r="52" spans="1:10" hidden="1" x14ac:dyDescent="0.25">
      <c r="A52" s="4">
        <v>5</v>
      </c>
      <c r="B52" s="32" t="s">
        <v>22</v>
      </c>
      <c r="E52" s="33" t="s">
        <v>43</v>
      </c>
      <c r="G52" s="23" t="s">
        <v>1148</v>
      </c>
      <c r="H52" s="24" t="s">
        <v>1134</v>
      </c>
      <c r="I52" s="76">
        <v>2447368.5</v>
      </c>
      <c r="J52" s="25" t="s">
        <v>1190</v>
      </c>
    </row>
    <row r="53" spans="1:10" hidden="1" x14ac:dyDescent="0.25">
      <c r="A53" s="4">
        <v>6</v>
      </c>
      <c r="B53" s="32" t="s">
        <v>23</v>
      </c>
      <c r="E53" s="33" t="s">
        <v>44</v>
      </c>
      <c r="G53" s="23" t="s">
        <v>1193</v>
      </c>
      <c r="H53" s="24" t="s">
        <v>1149</v>
      </c>
      <c r="I53" s="77" t="s">
        <v>1331</v>
      </c>
      <c r="J53" s="25" t="s">
        <v>1191</v>
      </c>
    </row>
    <row r="54" spans="1:10" hidden="1" x14ac:dyDescent="0.25">
      <c r="A54" s="4">
        <v>7</v>
      </c>
      <c r="B54" s="20" t="s">
        <v>931</v>
      </c>
      <c r="C54" s="21"/>
      <c r="D54" s="21"/>
      <c r="E54" s="22" t="s">
        <v>42</v>
      </c>
      <c r="G54" s="23" t="s">
        <v>16</v>
      </c>
      <c r="H54" s="24" t="s">
        <v>28</v>
      </c>
      <c r="I54" s="24">
        <v>6.7773830348186216E-3</v>
      </c>
      <c r="J54" s="25"/>
    </row>
    <row r="55" spans="1:10" hidden="1" x14ac:dyDescent="0.25">
      <c r="A55" s="4">
        <v>8</v>
      </c>
      <c r="G55" s="23" t="s">
        <v>39</v>
      </c>
      <c r="H55" s="24" t="s">
        <v>29</v>
      </c>
      <c r="I55" s="38">
        <v>108208600.3794834</v>
      </c>
      <c r="J55" s="25" t="s">
        <v>43</v>
      </c>
    </row>
    <row r="56" spans="1:10" hidden="1" x14ac:dyDescent="0.25">
      <c r="A56" s="4">
        <v>9</v>
      </c>
      <c r="G56" s="23" t="s">
        <v>1107</v>
      </c>
      <c r="H56" s="24" t="s">
        <v>1165</v>
      </c>
      <c r="I56" s="38">
        <v>3.3945472190848189</v>
      </c>
      <c r="J56" s="25" t="s">
        <v>44</v>
      </c>
    </row>
    <row r="57" spans="1:10" hidden="1" x14ac:dyDescent="0.25">
      <c r="A57" s="4">
        <v>10</v>
      </c>
      <c r="G57" s="23" t="s">
        <v>1243</v>
      </c>
      <c r="H57" s="24" t="s">
        <v>1166</v>
      </c>
      <c r="I57" s="38">
        <v>330.52208511995593</v>
      </c>
      <c r="J57" s="25" t="s">
        <v>44</v>
      </c>
    </row>
    <row r="58" spans="1:10" hidden="1" x14ac:dyDescent="0.25">
      <c r="A58" s="4">
        <v>11</v>
      </c>
      <c r="G58" s="23" t="s">
        <v>1374</v>
      </c>
      <c r="H58" s="24" t="s">
        <v>1344</v>
      </c>
      <c r="I58" s="38">
        <v>131.40334920885147</v>
      </c>
      <c r="J58" s="25" t="s">
        <v>44</v>
      </c>
    </row>
    <row r="59" spans="1:10" hidden="1" x14ac:dyDescent="0.25">
      <c r="A59" s="4">
        <v>12</v>
      </c>
      <c r="G59" s="23" t="s">
        <v>1108</v>
      </c>
      <c r="H59" s="24" t="s">
        <v>979</v>
      </c>
      <c r="I59" s="38">
        <v>76.576885470158558</v>
      </c>
      <c r="J59" s="25" t="s">
        <v>44</v>
      </c>
    </row>
    <row r="60" spans="1:10" x14ac:dyDescent="0.25">
      <c r="B60" s="47"/>
      <c r="C60" s="47"/>
      <c r="D60" s="47"/>
      <c r="E60" s="47"/>
      <c r="F60" s="47"/>
      <c r="G60" s="47"/>
      <c r="H60" s="47"/>
      <c r="I60" s="47"/>
      <c r="J60" s="47"/>
    </row>
    <row r="61" spans="1:10" x14ac:dyDescent="0.25">
      <c r="B61" s="11" t="s">
        <v>1110</v>
      </c>
      <c r="C61" s="12"/>
      <c r="D61" s="12"/>
      <c r="E61" s="13"/>
      <c r="G61" s="3" t="s">
        <v>1111</v>
      </c>
      <c r="H61" s="3" t="s">
        <v>1257</v>
      </c>
    </row>
    <row r="62" spans="1:10" ht="13.5" hidden="1" thickBot="1" x14ac:dyDescent="0.3">
      <c r="A62" s="4" t="s">
        <v>8</v>
      </c>
      <c r="B62" s="14" t="s">
        <v>1236</v>
      </c>
      <c r="C62" s="15"/>
      <c r="D62" s="15"/>
      <c r="E62" s="16"/>
      <c r="G62" s="17" t="s">
        <v>1112</v>
      </c>
      <c r="H62" s="18"/>
      <c r="I62" s="18"/>
      <c r="J62" s="19"/>
    </row>
    <row r="63" spans="1:10" hidden="1" x14ac:dyDescent="0.25">
      <c r="A63" s="4">
        <v>1</v>
      </c>
      <c r="B63" s="20" t="s">
        <v>1235</v>
      </c>
      <c r="C63" s="21" t="s">
        <v>1244</v>
      </c>
      <c r="D63" s="34">
        <v>38.97</v>
      </c>
      <c r="E63" s="22" t="s">
        <v>44</v>
      </c>
      <c r="G63" s="42" t="s">
        <v>1245</v>
      </c>
      <c r="H63" s="78" t="s">
        <v>91</v>
      </c>
      <c r="I63" s="43"/>
      <c r="J63" s="45"/>
    </row>
    <row r="64" spans="1:10" hidden="1" x14ac:dyDescent="0.25">
      <c r="A64" s="4">
        <v>2</v>
      </c>
      <c r="B64" s="23" t="s">
        <v>113</v>
      </c>
      <c r="C64" s="24" t="s">
        <v>105</v>
      </c>
      <c r="D64" s="35">
        <v>1452</v>
      </c>
      <c r="E64" s="25" t="s">
        <v>43</v>
      </c>
      <c r="G64" s="20" t="s">
        <v>1235</v>
      </c>
      <c r="H64" s="79" t="s">
        <v>1244</v>
      </c>
      <c r="I64" s="21">
        <v>38.97</v>
      </c>
      <c r="J64" s="80" t="s">
        <v>44</v>
      </c>
    </row>
    <row r="65" spans="1:10" hidden="1" x14ac:dyDescent="0.2">
      <c r="A65" s="4">
        <v>3</v>
      </c>
      <c r="B65" s="23" t="s">
        <v>116</v>
      </c>
      <c r="C65" s="24" t="s">
        <v>115</v>
      </c>
      <c r="D65" s="35"/>
      <c r="E65" s="25" t="s">
        <v>43</v>
      </c>
      <c r="G65" s="20" t="s">
        <v>113</v>
      </c>
      <c r="H65" s="59" t="s">
        <v>105</v>
      </c>
      <c r="I65" s="82">
        <v>1452</v>
      </c>
      <c r="J65" s="81" t="s">
        <v>43</v>
      </c>
    </row>
    <row r="66" spans="1:10" hidden="1" x14ac:dyDescent="0.25">
      <c r="A66" s="4">
        <v>4</v>
      </c>
      <c r="B66" s="29"/>
      <c r="C66" s="30"/>
      <c r="D66" s="30"/>
      <c r="E66" s="31"/>
      <c r="G66" s="26" t="s">
        <v>1113</v>
      </c>
      <c r="H66" s="27"/>
      <c r="I66" s="27"/>
      <c r="J66" s="28"/>
    </row>
    <row r="67" spans="1:10" hidden="1" x14ac:dyDescent="0.25">
      <c r="A67" s="4">
        <v>5</v>
      </c>
      <c r="B67" s="32" t="s">
        <v>22</v>
      </c>
      <c r="E67" s="33" t="s">
        <v>43</v>
      </c>
      <c r="G67" s="23" t="s">
        <v>113</v>
      </c>
      <c r="H67" s="59" t="s">
        <v>114</v>
      </c>
      <c r="I67" s="38">
        <v>1452</v>
      </c>
      <c r="J67" s="25" t="s">
        <v>43</v>
      </c>
    </row>
    <row r="68" spans="1:10" hidden="1" x14ac:dyDescent="0.25">
      <c r="A68" s="4">
        <v>6</v>
      </c>
      <c r="B68" s="32" t="s">
        <v>23</v>
      </c>
      <c r="E68" s="33" t="s">
        <v>44</v>
      </c>
      <c r="G68" s="23" t="s">
        <v>116</v>
      </c>
      <c r="H68" s="59" t="s">
        <v>115</v>
      </c>
      <c r="I68" s="38">
        <v>61720.4</v>
      </c>
      <c r="J68" s="25" t="s">
        <v>43</v>
      </c>
    </row>
    <row r="69" spans="1:10" hidden="1" x14ac:dyDescent="0.25">
      <c r="A69" s="4">
        <v>7</v>
      </c>
      <c r="B69" s="20" t="s">
        <v>931</v>
      </c>
      <c r="C69" s="21"/>
      <c r="D69" s="21"/>
      <c r="E69" s="22" t="s">
        <v>42</v>
      </c>
      <c r="G69" s="23" t="s">
        <v>1248</v>
      </c>
      <c r="H69" s="59" t="s">
        <v>165</v>
      </c>
      <c r="I69" s="38">
        <v>1029.071581045826</v>
      </c>
      <c r="J69" s="25" t="s">
        <v>43</v>
      </c>
    </row>
    <row r="70" spans="1:10" hidden="1" x14ac:dyDescent="0.25">
      <c r="A70" s="4">
        <v>8</v>
      </c>
      <c r="G70" s="23" t="s">
        <v>146</v>
      </c>
      <c r="H70" s="59" t="s">
        <v>1247</v>
      </c>
      <c r="I70" s="38">
        <v>0.48915732299829368</v>
      </c>
      <c r="J70" s="25" t="s">
        <v>44</v>
      </c>
    </row>
    <row r="71" spans="1:10" hidden="1" x14ac:dyDescent="0.25">
      <c r="A71" s="4">
        <v>9</v>
      </c>
      <c r="G71" s="23" t="s">
        <v>1227</v>
      </c>
      <c r="H71" s="59" t="s">
        <v>1246</v>
      </c>
      <c r="I71" s="38">
        <v>1542.5393932703494</v>
      </c>
      <c r="J71" s="25" t="s">
        <v>43</v>
      </c>
    </row>
    <row r="72" spans="1:10" hidden="1" x14ac:dyDescent="0.25">
      <c r="A72" s="4">
        <v>10</v>
      </c>
      <c r="G72" s="23" t="s">
        <v>147</v>
      </c>
      <c r="H72" s="59" t="s">
        <v>162</v>
      </c>
      <c r="I72" s="38">
        <v>13308.93450280676</v>
      </c>
      <c r="J72" s="25" t="s">
        <v>43</v>
      </c>
    </row>
    <row r="73" spans="1:10" hidden="1" x14ac:dyDescent="0.25">
      <c r="A73" s="4">
        <v>11</v>
      </c>
      <c r="G73" s="23" t="s">
        <v>145</v>
      </c>
      <c r="H73" s="59" t="s">
        <v>160</v>
      </c>
      <c r="I73" s="38">
        <v>77.54735283571361</v>
      </c>
      <c r="J73" s="25" t="s">
        <v>44</v>
      </c>
    </row>
    <row r="74" spans="1:10" x14ac:dyDescent="0.25">
      <c r="B74" s="47"/>
      <c r="C74" s="47"/>
      <c r="D74" s="47"/>
      <c r="E74" s="47"/>
      <c r="F74" s="47"/>
      <c r="G74" s="47"/>
      <c r="H74" s="47"/>
      <c r="I74" s="47"/>
      <c r="J74" s="47"/>
    </row>
    <row r="75" spans="1:10" x14ac:dyDescent="0.25">
      <c r="B75" s="11" t="s">
        <v>1109</v>
      </c>
      <c r="C75" s="12"/>
      <c r="D75" s="12"/>
      <c r="E75" s="13"/>
      <c r="G75" s="3" t="s">
        <v>1249</v>
      </c>
      <c r="H75" s="3" t="s">
        <v>1307</v>
      </c>
    </row>
    <row r="76" spans="1:10" ht="13.5" hidden="1" thickBot="1" x14ac:dyDescent="0.3">
      <c r="A76" s="4" t="s">
        <v>8</v>
      </c>
      <c r="B76" s="14" t="s">
        <v>1256</v>
      </c>
      <c r="C76" s="15"/>
      <c r="D76" s="15"/>
      <c r="E76" s="16"/>
      <c r="G76" s="17" t="s">
        <v>1254</v>
      </c>
      <c r="H76" s="18"/>
      <c r="I76" s="18"/>
      <c r="J76" s="19"/>
    </row>
    <row r="77" spans="1:10" hidden="1" x14ac:dyDescent="0.25">
      <c r="A77" s="4">
        <v>1</v>
      </c>
      <c r="B77" s="20" t="s">
        <v>1228</v>
      </c>
      <c r="C77" s="21" t="s">
        <v>1234</v>
      </c>
      <c r="D77" s="34">
        <v>0.42899999999999999</v>
      </c>
      <c r="E77" s="22" t="s">
        <v>1005</v>
      </c>
      <c r="G77" s="42" t="s">
        <v>1228</v>
      </c>
      <c r="H77" s="43" t="s">
        <v>1234</v>
      </c>
      <c r="I77" s="43">
        <v>0.42899999999999999</v>
      </c>
      <c r="J77" s="83" t="s">
        <v>1005</v>
      </c>
    </row>
    <row r="78" spans="1:10" hidden="1" x14ac:dyDescent="0.25">
      <c r="A78" s="4">
        <v>2</v>
      </c>
      <c r="B78" s="23" t="s">
        <v>1229</v>
      </c>
      <c r="C78" s="24" t="s">
        <v>1233</v>
      </c>
      <c r="D78" s="35">
        <v>290</v>
      </c>
      <c r="E78" s="25" t="s">
        <v>42</v>
      </c>
      <c r="G78" s="20" t="s">
        <v>1229</v>
      </c>
      <c r="H78" s="21" t="s">
        <v>1233</v>
      </c>
      <c r="I78" s="21">
        <v>290</v>
      </c>
      <c r="J78" s="80" t="s">
        <v>42</v>
      </c>
    </row>
    <row r="79" spans="1:10" hidden="1" x14ac:dyDescent="0.25">
      <c r="A79" s="4">
        <v>3</v>
      </c>
      <c r="B79" s="23" t="s">
        <v>1230</v>
      </c>
      <c r="C79" s="24" t="s">
        <v>1250</v>
      </c>
      <c r="D79" s="35"/>
      <c r="E79" s="25"/>
      <c r="G79" s="20" t="s">
        <v>1231</v>
      </c>
      <c r="H79" s="24" t="s">
        <v>1251</v>
      </c>
      <c r="I79" s="24">
        <v>1024.9999999999998</v>
      </c>
      <c r="J79" s="81" t="s">
        <v>1255</v>
      </c>
    </row>
    <row r="80" spans="1:10" hidden="1" x14ac:dyDescent="0.25">
      <c r="A80" s="4">
        <v>4</v>
      </c>
      <c r="B80" s="23" t="s">
        <v>1231</v>
      </c>
      <c r="C80" s="24" t="s">
        <v>1251</v>
      </c>
      <c r="D80" s="35">
        <v>1024.9999999999998</v>
      </c>
      <c r="E80" s="25" t="s">
        <v>1255</v>
      </c>
      <c r="G80" s="26" t="s">
        <v>1253</v>
      </c>
      <c r="H80" s="27"/>
      <c r="I80" s="27"/>
      <c r="J80" s="28"/>
    </row>
    <row r="81" spans="1:10" hidden="1" x14ac:dyDescent="0.25">
      <c r="A81" s="4">
        <v>5</v>
      </c>
      <c r="B81" s="29"/>
      <c r="C81" s="30"/>
      <c r="D81" s="30"/>
      <c r="E81" s="31"/>
      <c r="G81" s="23" t="s">
        <v>1228</v>
      </c>
      <c r="H81" s="24" t="s">
        <v>1234</v>
      </c>
      <c r="I81" s="24">
        <v>0.42899999999999999</v>
      </c>
      <c r="J81" s="25"/>
    </row>
    <row r="82" spans="1:10" hidden="1" x14ac:dyDescent="0.25">
      <c r="A82" s="4">
        <v>6</v>
      </c>
      <c r="B82" s="32" t="s">
        <v>22</v>
      </c>
      <c r="E82" s="33" t="s">
        <v>43</v>
      </c>
      <c r="G82" s="23" t="s">
        <v>1229</v>
      </c>
      <c r="H82" s="24" t="s">
        <v>1233</v>
      </c>
      <c r="I82" s="24">
        <v>290</v>
      </c>
      <c r="J82" s="25"/>
    </row>
    <row r="83" spans="1:10" hidden="1" x14ac:dyDescent="0.25">
      <c r="A83" s="4">
        <v>7</v>
      </c>
      <c r="B83" s="32" t="s">
        <v>23</v>
      </c>
      <c r="E83" s="33" t="s">
        <v>44</v>
      </c>
      <c r="G83" s="23" t="s">
        <v>1232</v>
      </c>
      <c r="H83" s="24" t="s">
        <v>1252</v>
      </c>
      <c r="I83" s="38">
        <v>166.89000518389736</v>
      </c>
      <c r="J83" s="25"/>
    </row>
    <row r="84" spans="1:10" hidden="1" x14ac:dyDescent="0.25">
      <c r="A84" s="4">
        <v>8</v>
      </c>
      <c r="B84" s="20" t="s">
        <v>931</v>
      </c>
      <c r="C84" s="21"/>
      <c r="D84" s="21"/>
      <c r="E84" s="22" t="s">
        <v>42</v>
      </c>
      <c r="G84" s="23" t="s">
        <v>1230</v>
      </c>
      <c r="H84" s="24" t="s">
        <v>1250</v>
      </c>
      <c r="I84" s="38">
        <v>1191.8900051838971</v>
      </c>
      <c r="J84" s="25"/>
    </row>
    <row r="85" spans="1:10" hidden="1" x14ac:dyDescent="0.25">
      <c r="A85" s="4">
        <v>9</v>
      </c>
      <c r="G85" s="23" t="s">
        <v>1231</v>
      </c>
      <c r="H85" s="24" t="s">
        <v>1251</v>
      </c>
      <c r="I85" s="38">
        <v>1024.9999999999998</v>
      </c>
      <c r="J85" s="25"/>
    </row>
    <row r="86" spans="1:10" x14ac:dyDescent="0.25">
      <c r="B86" s="47"/>
      <c r="C86" s="47"/>
      <c r="D86" s="47"/>
      <c r="E86" s="47"/>
      <c r="F86" s="47"/>
      <c r="G86" s="47"/>
      <c r="H86" s="47"/>
      <c r="I86" s="47"/>
      <c r="J86" s="47"/>
    </row>
  </sheetData>
  <hyperlinks>
    <hyperlink ref="B1" location="WS_Navigation!B2" tooltip="go to navigation sheet" display="Navigate to Worksheet TOC (table of contents)" xr:uid="{D4A90E55-7B0A-40A0-A1A3-B0CB17000AB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Line="0" autoPict="0" macro="[1]!calcUtils">
                <anchor>
                  <from>
                    <xdr:col>3</xdr:col>
                    <xdr:colOff>1266825</xdr:colOff>
                    <xdr:row>5</xdr:row>
                    <xdr:rowOff>95250</xdr:rowOff>
                  </from>
                  <to>
                    <xdr:col>6</xdr:col>
                    <xdr:colOff>1371600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Line="0" autoPict="0" macro="[1]!viewHideUtil">
                <anchor>
                  <from>
                    <xdr:col>3</xdr:col>
                    <xdr:colOff>1266825</xdr:colOff>
                    <xdr:row>3</xdr:row>
                    <xdr:rowOff>85725</xdr:rowOff>
                  </from>
                  <to>
                    <xdr:col>6</xdr:col>
                    <xdr:colOff>1371600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33F63-DB9F-45C0-827F-45AA9F6D6258}">
  <sheetPr codeName="Sheet14"/>
  <dimension ref="A1:R71"/>
  <sheetViews>
    <sheetView zoomScale="80" zoomScaleNormal="80" workbookViewId="0">
      <selection activeCell="L11" sqref="L11"/>
    </sheetView>
  </sheetViews>
  <sheetFormatPr defaultRowHeight="12.75" x14ac:dyDescent="0.25"/>
  <cols>
    <col min="1" max="1" width="6.7109375" style="3" customWidth="1"/>
    <col min="2" max="2" width="24.7109375" style="3" customWidth="1"/>
    <col min="3" max="5" width="15.7109375" style="3" customWidth="1"/>
    <col min="6" max="7" width="14.7109375" style="3" customWidth="1"/>
    <col min="8" max="8" width="18.7109375" style="3" customWidth="1"/>
    <col min="9" max="9" width="14.7109375" style="3" customWidth="1"/>
    <col min="10" max="10" width="12.7109375" style="3" customWidth="1"/>
    <col min="11" max="11" width="13.5703125" style="3" bestFit="1" customWidth="1"/>
    <col min="12" max="12" width="10.7109375" style="3" customWidth="1"/>
    <col min="13" max="15" width="9.140625" style="3"/>
    <col min="16" max="16" width="13" style="3" bestFit="1" customWidth="1"/>
    <col min="17" max="16384" width="9.140625" style="3"/>
  </cols>
  <sheetData>
    <row r="1" spans="1:12" x14ac:dyDescent="0.25">
      <c r="A1" s="2" t="s">
        <v>1</v>
      </c>
      <c r="B1" s="1" t="s">
        <v>0</v>
      </c>
      <c r="E1" s="153" t="s">
        <v>1531</v>
      </c>
    </row>
    <row r="2" spans="1:12" x14ac:dyDescent="0.25">
      <c r="A2" s="2" t="s">
        <v>2</v>
      </c>
      <c r="B2" s="2" t="s">
        <v>1379</v>
      </c>
    </row>
    <row r="3" spans="1:12" x14ac:dyDescent="0.25">
      <c r="A3" s="2" t="s">
        <v>3</v>
      </c>
      <c r="B3" s="1" t="str">
        <f>HYPERLINK("..\Maple\OrbitalMech\SpreadsheetFiles\OrbitTools(jb1).xlsm","Orbital Tools")</f>
        <v>Orbital Tools</v>
      </c>
      <c r="C3" s="3" t="s">
        <v>14</v>
      </c>
      <c r="J3" s="4"/>
    </row>
    <row r="4" spans="1:12" ht="14.25" x14ac:dyDescent="0.25">
      <c r="A4" s="49"/>
      <c r="B4" s="53" t="str">
        <f>HYPERLINK("#MainMenu!B7","Main Menu")</f>
        <v>Main Menu</v>
      </c>
      <c r="J4" s="4"/>
    </row>
    <row r="5" spans="1:12" x14ac:dyDescent="0.25">
      <c r="B5" s="10" t="s">
        <v>80</v>
      </c>
      <c r="J5" s="4"/>
      <c r="K5" s="4"/>
    </row>
    <row r="6" spans="1:12" x14ac:dyDescent="0.25">
      <c r="B6" s="37" t="s">
        <v>1398</v>
      </c>
      <c r="J6" s="70"/>
      <c r="K6" s="4"/>
    </row>
    <row r="7" spans="1:12" x14ac:dyDescent="0.25">
      <c r="B7" s="3" t="s">
        <v>1395</v>
      </c>
      <c r="J7" s="4"/>
    </row>
    <row r="8" spans="1:12" x14ac:dyDescent="0.25">
      <c r="B8" s="3" t="s">
        <v>1397</v>
      </c>
      <c r="K8" s="4"/>
    </row>
    <row r="9" spans="1:12" x14ac:dyDescent="0.25">
      <c r="B9" s="3" t="s">
        <v>1396</v>
      </c>
      <c r="E9" s="48"/>
      <c r="J9" s="70"/>
      <c r="K9" s="4"/>
    </row>
    <row r="10" spans="1:12" x14ac:dyDescent="0.25">
      <c r="J10" s="109"/>
    </row>
    <row r="11" spans="1:12" x14ac:dyDescent="0.25">
      <c r="B11" s="112" t="s">
        <v>1469</v>
      </c>
      <c r="J11" s="4"/>
    </row>
    <row r="12" spans="1:12" x14ac:dyDescent="0.25">
      <c r="B12" s="37" t="s">
        <v>1437</v>
      </c>
      <c r="J12" s="4"/>
    </row>
    <row r="13" spans="1:12" x14ac:dyDescent="0.25">
      <c r="A13" s="4" t="s">
        <v>8</v>
      </c>
      <c r="B13" s="3" t="s">
        <v>1295</v>
      </c>
      <c r="C13" s="4" t="s">
        <v>86</v>
      </c>
      <c r="D13" s="4" t="s">
        <v>58</v>
      </c>
      <c r="E13" s="3">
        <f>AstroConstants!C10</f>
        <v>132712439935.5</v>
      </c>
      <c r="F13" s="3" t="s">
        <v>51</v>
      </c>
      <c r="J13" s="4"/>
      <c r="L13" s="3" t="s">
        <v>1577</v>
      </c>
    </row>
    <row r="14" spans="1:12" ht="13.5" thickBot="1" x14ac:dyDescent="0.3">
      <c r="A14" s="4">
        <v>1</v>
      </c>
      <c r="B14" s="3" t="s">
        <v>1444</v>
      </c>
      <c r="C14" s="111" t="s">
        <v>15</v>
      </c>
      <c r="J14" s="4"/>
      <c r="L14" s="3" t="s">
        <v>1576</v>
      </c>
    </row>
    <row r="15" spans="1:12" x14ac:dyDescent="0.25">
      <c r="A15" s="4">
        <v>2</v>
      </c>
      <c r="B15" s="43" t="s">
        <v>1438</v>
      </c>
      <c r="C15" s="78" t="s">
        <v>928</v>
      </c>
      <c r="D15" s="78" t="s">
        <v>67</v>
      </c>
      <c r="E15" s="78" t="s">
        <v>66</v>
      </c>
      <c r="F15" s="93" t="s">
        <v>1368</v>
      </c>
      <c r="J15" s="4"/>
      <c r="L15" s="3" t="s">
        <v>1575</v>
      </c>
    </row>
    <row r="16" spans="1:12" x14ac:dyDescent="0.25">
      <c r="A16" s="4">
        <v>3</v>
      </c>
      <c r="B16" s="24" t="s">
        <v>1148</v>
      </c>
      <c r="C16" s="59" t="s">
        <v>1391</v>
      </c>
      <c r="D16" s="108">
        <v>2447259.5</v>
      </c>
      <c r="E16" s="59" t="s">
        <v>1190</v>
      </c>
      <c r="F16" s="95" t="s">
        <v>1373</v>
      </c>
      <c r="J16" s="4"/>
    </row>
    <row r="17" spans="1:18" ht="13.5" thickBot="1" x14ac:dyDescent="0.3">
      <c r="A17" s="4">
        <v>4</v>
      </c>
      <c r="B17" s="89" t="s">
        <v>1336</v>
      </c>
      <c r="C17" s="92" t="s">
        <v>1445</v>
      </c>
      <c r="D17" s="90" t="s">
        <v>1381</v>
      </c>
      <c r="E17" s="92" t="s">
        <v>1191</v>
      </c>
      <c r="F17" s="94"/>
      <c r="G17" s="151" t="s">
        <v>1530</v>
      </c>
      <c r="I17" s="115" t="s">
        <v>1485</v>
      </c>
      <c r="J17" s="118" t="s">
        <v>1496</v>
      </c>
      <c r="O17" s="155" t="s">
        <v>1574</v>
      </c>
      <c r="P17" s="41"/>
      <c r="Q17" s="41"/>
      <c r="R17" s="41"/>
    </row>
    <row r="18" spans="1:18" x14ac:dyDescent="0.25">
      <c r="A18" s="4">
        <v>5</v>
      </c>
      <c r="B18" s="29" t="s">
        <v>1439</v>
      </c>
      <c r="C18" s="105" t="s">
        <v>1413</v>
      </c>
      <c r="D18" s="105" t="s">
        <v>1406</v>
      </c>
      <c r="E18" s="105" t="s">
        <v>1414</v>
      </c>
      <c r="F18" s="105" t="s">
        <v>1415</v>
      </c>
      <c r="G18" s="105" t="s">
        <v>1416</v>
      </c>
      <c r="H18" s="106" t="s">
        <v>1417</v>
      </c>
      <c r="I18" s="4" t="s">
        <v>1418</v>
      </c>
      <c r="J18" s="4" t="s">
        <v>1402</v>
      </c>
      <c r="K18" s="4" t="s">
        <v>1404</v>
      </c>
      <c r="L18" s="130" t="s">
        <v>1514</v>
      </c>
      <c r="M18" s="139" t="s">
        <v>1529</v>
      </c>
      <c r="O18" s="154" t="s">
        <v>1572</v>
      </c>
      <c r="P18" s="154" t="s">
        <v>1573</v>
      </c>
    </row>
    <row r="19" spans="1:18" x14ac:dyDescent="0.25">
      <c r="A19" s="4">
        <v>6</v>
      </c>
      <c r="B19" s="20"/>
      <c r="C19" s="107">
        <v>149598022.29063168</v>
      </c>
      <c r="D19" s="79">
        <v>1.6713560481804588E-2</v>
      </c>
      <c r="E19" s="79">
        <v>0</v>
      </c>
      <c r="F19" s="79">
        <v>196.47469944837425</v>
      </c>
      <c r="G19" s="79">
        <v>102.73560003642136</v>
      </c>
      <c r="H19" s="102">
        <v>0</v>
      </c>
      <c r="I19" s="4">
        <f>G19-H19</f>
        <v>102.73560003642136</v>
      </c>
      <c r="J19" s="3">
        <f>F19-I19</f>
        <v>93.739099411952893</v>
      </c>
      <c r="K19" s="48">
        <f>C19*(1-D19^2)/(1+D19*COS(J19*PI()/180))</f>
        <v>149719419.22234151</v>
      </c>
      <c r="L19" s="3">
        <f>SQRT(AstroConstants!$C$10*(2/'6_MissionPlan'!K19-1/'6_MissionPlan'!C19))</f>
        <v>29.760516636385031</v>
      </c>
      <c r="M19" s="138">
        <f>ATAN(D19*SIN(J19)/(1+D19*COS(J19)))</f>
        <v>-8.0226368270360816E-3</v>
      </c>
      <c r="O19" s="3">
        <f>K19*COS(RADIANS(J19))</f>
        <v>-9763695.04171478</v>
      </c>
      <c r="P19" s="3">
        <f>K19*SIN(RADIANS(J19))</f>
        <v>149400718.71114823</v>
      </c>
    </row>
    <row r="20" spans="1:18" x14ac:dyDescent="0.25">
      <c r="A20" s="4">
        <v>7</v>
      </c>
      <c r="B20" s="47"/>
      <c r="C20" s="47"/>
      <c r="D20" s="47"/>
      <c r="E20" s="47"/>
      <c r="F20" s="47"/>
      <c r="G20" s="47"/>
      <c r="H20" s="47"/>
      <c r="I20" s="4"/>
      <c r="K20" s="48"/>
    </row>
    <row r="21" spans="1:18" ht="13.5" thickBot="1" x14ac:dyDescent="0.3">
      <c r="A21" s="4">
        <v>8</v>
      </c>
      <c r="B21" s="3" t="s">
        <v>1443</v>
      </c>
      <c r="C21" s="111" t="s">
        <v>88</v>
      </c>
      <c r="D21" s="4"/>
      <c r="E21" s="4"/>
      <c r="F21" s="4"/>
      <c r="G21" s="4"/>
      <c r="H21" s="4"/>
      <c r="I21" s="4"/>
      <c r="K21" s="48"/>
    </row>
    <row r="22" spans="1:18" x14ac:dyDescent="0.25">
      <c r="A22" s="4">
        <v>9</v>
      </c>
      <c r="B22" s="43" t="s">
        <v>1440</v>
      </c>
      <c r="C22" s="78" t="s">
        <v>928</v>
      </c>
      <c r="D22" s="78" t="s">
        <v>67</v>
      </c>
      <c r="E22" s="78" t="s">
        <v>66</v>
      </c>
      <c r="F22" s="93" t="s">
        <v>1368</v>
      </c>
      <c r="G22" s="4"/>
      <c r="H22" s="4"/>
      <c r="I22" s="4"/>
      <c r="K22" s="48"/>
    </row>
    <row r="23" spans="1:18" x14ac:dyDescent="0.25">
      <c r="A23" s="4">
        <v>10</v>
      </c>
      <c r="B23" s="24" t="s">
        <v>1148</v>
      </c>
      <c r="C23" s="59" t="s">
        <v>1392</v>
      </c>
      <c r="D23" s="108">
        <v>2447368.5</v>
      </c>
      <c r="E23" s="59" t="s">
        <v>1190</v>
      </c>
      <c r="F23" s="110" t="str">
        <f>F16</f>
        <v>element_3a</v>
      </c>
      <c r="G23" s="4"/>
      <c r="H23" s="4"/>
      <c r="I23" s="4"/>
      <c r="K23" s="48"/>
    </row>
    <row r="24" spans="1:18" ht="13.5" thickBot="1" x14ac:dyDescent="0.3">
      <c r="A24" s="4">
        <v>11</v>
      </c>
      <c r="B24" s="89" t="s">
        <v>1336</v>
      </c>
      <c r="C24" s="92" t="s">
        <v>1446</v>
      </c>
      <c r="D24" s="137" t="s">
        <v>1331</v>
      </c>
      <c r="E24" s="92" t="s">
        <v>1191</v>
      </c>
      <c r="F24" s="94"/>
      <c r="G24" s="4" t="s">
        <v>1331</v>
      </c>
      <c r="H24" s="4"/>
      <c r="I24" s="4"/>
      <c r="K24" s="48"/>
    </row>
    <row r="25" spans="1:18" x14ac:dyDescent="0.25">
      <c r="A25" s="4">
        <v>12</v>
      </c>
      <c r="B25" s="29" t="s">
        <v>1441</v>
      </c>
      <c r="C25" s="105" t="s">
        <v>1412</v>
      </c>
      <c r="D25" s="105" t="s">
        <v>1411</v>
      </c>
      <c r="E25" s="105" t="s">
        <v>1410</v>
      </c>
      <c r="F25" s="105" t="s">
        <v>1409</v>
      </c>
      <c r="G25" s="105" t="s">
        <v>1408</v>
      </c>
      <c r="H25" s="106" t="s">
        <v>1407</v>
      </c>
      <c r="I25" s="4" t="s">
        <v>1419</v>
      </c>
      <c r="J25" s="4" t="s">
        <v>1403</v>
      </c>
      <c r="K25" s="4" t="s">
        <v>1405</v>
      </c>
      <c r="L25" s="130" t="s">
        <v>1515</v>
      </c>
      <c r="M25" s="139" t="s">
        <v>1528</v>
      </c>
    </row>
    <row r="26" spans="1:18" x14ac:dyDescent="0.25">
      <c r="A26" s="4">
        <v>13</v>
      </c>
      <c r="B26" s="20"/>
      <c r="C26" s="107">
        <v>108208600.3794834</v>
      </c>
      <c r="D26" s="21">
        <v>6.7773830348186216E-3</v>
      </c>
      <c r="E26" s="21">
        <v>3.3945472190848189</v>
      </c>
      <c r="F26" s="21">
        <v>330.52208511995593</v>
      </c>
      <c r="G26" s="21">
        <v>131.40334920885147</v>
      </c>
      <c r="H26" s="22">
        <v>76.576885470158558</v>
      </c>
      <c r="I26" s="4">
        <f>G26-H26</f>
        <v>54.826463738692908</v>
      </c>
      <c r="J26" s="3">
        <f>F26-I26</f>
        <v>275.69562138126304</v>
      </c>
      <c r="K26" s="48">
        <f>C26*(1-D26^2)/(1+D26*COS(J26*PI()/180))</f>
        <v>108130899.83572169</v>
      </c>
      <c r="L26" s="3">
        <f>SQRT(AstroConstants!$C$10*(2/'6_MissionPlan'!K26-1/'6_MissionPlan'!C26))</f>
        <v>35.045864517835675</v>
      </c>
      <c r="M26" s="138">
        <f>ATAN(D26*SIN(J26)/(1+D26*COS(J26)))*PI()/180</f>
        <v>-8.1479507029062165E-5</v>
      </c>
    </row>
    <row r="27" spans="1:18" x14ac:dyDescent="0.25">
      <c r="A27" s="4">
        <v>14</v>
      </c>
      <c r="B27" s="3" t="s">
        <v>1442</v>
      </c>
      <c r="C27" s="109" t="s">
        <v>1393</v>
      </c>
      <c r="D27" s="3">
        <v>109</v>
      </c>
      <c r="E27" s="3" t="s">
        <v>1394</v>
      </c>
      <c r="I27" s="4"/>
      <c r="J27" s="4"/>
    </row>
    <row r="28" spans="1:18" x14ac:dyDescent="0.25">
      <c r="A28" s="4">
        <v>15</v>
      </c>
      <c r="B28" s="47"/>
      <c r="C28" s="47"/>
      <c r="D28" s="47"/>
      <c r="E28" s="47"/>
      <c r="F28" s="47"/>
      <c r="G28" s="47"/>
      <c r="H28" s="47"/>
      <c r="N28" s="132"/>
    </row>
    <row r="29" spans="1:18" x14ac:dyDescent="0.25">
      <c r="A29" s="4">
        <v>16</v>
      </c>
      <c r="B29" s="29" t="s">
        <v>1448</v>
      </c>
      <c r="C29" s="113" t="s">
        <v>1471</v>
      </c>
      <c r="D29" s="113" t="s">
        <v>1462</v>
      </c>
      <c r="E29" s="113" t="s">
        <v>1475</v>
      </c>
      <c r="F29" s="113" t="s">
        <v>1474</v>
      </c>
      <c r="G29" s="113" t="s">
        <v>1473</v>
      </c>
      <c r="H29" s="114" t="s">
        <v>1472</v>
      </c>
      <c r="I29" s="4" t="s">
        <v>1420</v>
      </c>
      <c r="J29" s="4" t="s">
        <v>1421</v>
      </c>
      <c r="K29" s="4" t="s">
        <v>1422</v>
      </c>
      <c r="L29" s="131" t="s">
        <v>1516</v>
      </c>
      <c r="O29" s="132"/>
    </row>
    <row r="30" spans="1:18" ht="13.5" thickBot="1" x14ac:dyDescent="0.3">
      <c r="A30" s="4">
        <v>17</v>
      </c>
      <c r="B30" s="32"/>
      <c r="C30" s="48">
        <f>I37</f>
        <v>129076397.6030954</v>
      </c>
      <c r="D30" s="3">
        <f>I35</f>
        <v>0.17480477898595348</v>
      </c>
      <c r="E30" s="3">
        <f>I56</f>
        <v>4.5394500706223591</v>
      </c>
      <c r="H30" s="33"/>
      <c r="I30" s="4">
        <f>G30-H30</f>
        <v>0</v>
      </c>
      <c r="J30" s="3">
        <f>F30-I30</f>
        <v>0</v>
      </c>
      <c r="K30" s="48">
        <f>C30*(1-D30^2)/(1+D30*COS(J30*PI()/180))</f>
        <v>106513226.44778325</v>
      </c>
      <c r="L30" s="3">
        <f>SQRT(AstroConstants!$C$10*(2/'6_MissionPlan'!K30-1/'6_MissionPlan'!C30))</f>
        <v>38.25928935615223</v>
      </c>
      <c r="O30" s="132"/>
    </row>
    <row r="31" spans="1:18" x14ac:dyDescent="0.25">
      <c r="A31" s="4">
        <v>18</v>
      </c>
      <c r="B31" s="119" t="s">
        <v>1390</v>
      </c>
      <c r="C31" s="120" t="s">
        <v>1480</v>
      </c>
      <c r="D31" s="119"/>
      <c r="E31" s="119"/>
      <c r="F31" s="119"/>
      <c r="G31" s="119"/>
      <c r="H31" s="122" t="s">
        <v>1481</v>
      </c>
      <c r="I31" s="123" t="s">
        <v>1470</v>
      </c>
      <c r="J31" s="119"/>
      <c r="K31" s="119"/>
      <c r="L31" s="121"/>
    </row>
    <row r="32" spans="1:18" x14ac:dyDescent="0.25">
      <c r="A32" s="4">
        <v>19</v>
      </c>
      <c r="B32" s="3" t="s">
        <v>1457</v>
      </c>
      <c r="C32" s="4" t="s">
        <v>1423</v>
      </c>
      <c r="D32" s="10">
        <f>PI()</f>
        <v>3.1415926535897931</v>
      </c>
      <c r="E32" s="3" t="s">
        <v>1388</v>
      </c>
      <c r="F32" s="3">
        <f>D32*180/PI()</f>
        <v>180</v>
      </c>
      <c r="G32" s="3" t="s">
        <v>1389</v>
      </c>
      <c r="H32" s="124" t="s">
        <v>1468</v>
      </c>
      <c r="I32" s="47">
        <v>0.34975263745952528</v>
      </c>
      <c r="J32" s="3" t="s">
        <v>1388</v>
      </c>
      <c r="K32" s="3">
        <f>I32*180/PI()</f>
        <v>20.039349999999978</v>
      </c>
      <c r="L32" s="33" t="s">
        <v>1389</v>
      </c>
    </row>
    <row r="33" spans="1:13" x14ac:dyDescent="0.25">
      <c r="A33" s="4">
        <v>20</v>
      </c>
      <c r="B33" s="3" t="s">
        <v>1450</v>
      </c>
      <c r="C33" s="4" t="s">
        <v>1424</v>
      </c>
      <c r="D33" s="3">
        <f>(D32+($F$26-$F$19)*PI()/180)</f>
        <v>5.4811608872495636</v>
      </c>
      <c r="E33" s="3" t="s">
        <v>1388</v>
      </c>
      <c r="F33" s="3">
        <f>D33*180/PI()</f>
        <v>314.04738567158165</v>
      </c>
      <c r="G33" s="3" t="s">
        <v>1389</v>
      </c>
      <c r="H33" s="124" t="s">
        <v>1449</v>
      </c>
      <c r="I33" s="3">
        <f>D32+I32</f>
        <v>3.4913452910493183</v>
      </c>
      <c r="J33" s="3" t="s">
        <v>1388</v>
      </c>
      <c r="K33" s="3">
        <f>I33*180/PI()</f>
        <v>200.03934999999996</v>
      </c>
      <c r="L33" s="33" t="s">
        <v>1389</v>
      </c>
    </row>
    <row r="34" spans="1:13" x14ac:dyDescent="0.25">
      <c r="A34" s="4">
        <v>21</v>
      </c>
      <c r="B34" s="3" t="s">
        <v>1450</v>
      </c>
      <c r="C34" s="4" t="s">
        <v>1425</v>
      </c>
      <c r="D34" s="3">
        <f>($K$26-$K$19)/($K$19*COS(D32)-$K$26*COS(D33))</f>
        <v>0.18492189456416913</v>
      </c>
      <c r="H34" s="67" t="s">
        <v>1461</v>
      </c>
      <c r="I34" s="3">
        <f>I33+($F$26-$F$19)*PI()/180</f>
        <v>5.8309135247090893</v>
      </c>
      <c r="J34" s="3" t="s">
        <v>1388</v>
      </c>
      <c r="K34" s="3">
        <f>I34*180/PI()</f>
        <v>334.08673567158172</v>
      </c>
      <c r="L34" s="33" t="s">
        <v>1389</v>
      </c>
    </row>
    <row r="35" spans="1:13" x14ac:dyDescent="0.25">
      <c r="A35" s="4">
        <v>22</v>
      </c>
      <c r="B35" s="3" t="s">
        <v>1451</v>
      </c>
      <c r="C35" s="4" t="s">
        <v>1426</v>
      </c>
      <c r="D35" s="48">
        <f>$K$19*(1+D34*COS(D32))/(1+D34)</f>
        <v>102988240.09120408</v>
      </c>
      <c r="E35" s="3" t="s">
        <v>43</v>
      </c>
      <c r="H35" s="67" t="s">
        <v>1462</v>
      </c>
      <c r="I35" s="3">
        <f>($K$26-$K$19)/($K$19*COS(I33)-$K$26*COS(I34))</f>
        <v>0.17480477898595348</v>
      </c>
      <c r="L35" s="33"/>
    </row>
    <row r="36" spans="1:13" x14ac:dyDescent="0.25">
      <c r="A36" s="4">
        <v>23</v>
      </c>
      <c r="B36" s="3" t="s">
        <v>1452</v>
      </c>
      <c r="C36" s="4" t="s">
        <v>1427</v>
      </c>
      <c r="D36" s="48">
        <f>D35/(1-D34)</f>
        <v>126353829.65677279</v>
      </c>
      <c r="E36" s="3" t="s">
        <v>43</v>
      </c>
      <c r="H36" s="67" t="s">
        <v>1463</v>
      </c>
      <c r="I36" s="48">
        <f>$K$19*(1+I35*COS(I33))/(1+I35)</f>
        <v>106513226.44778325</v>
      </c>
      <c r="J36" s="3" t="s">
        <v>43</v>
      </c>
      <c r="L36" s="33"/>
    </row>
    <row r="37" spans="1:13" x14ac:dyDescent="0.25">
      <c r="A37" s="4">
        <v>24</v>
      </c>
      <c r="B37" s="3" t="s">
        <v>1458</v>
      </c>
      <c r="C37" s="4" t="s">
        <v>1428</v>
      </c>
      <c r="D37" s="3">
        <f>SQRT($E$13/D36^3)</f>
        <v>2.5649163305863785E-7</v>
      </c>
      <c r="H37" s="124" t="s">
        <v>1479</v>
      </c>
      <c r="I37" s="48">
        <f>I36/(1-I35)</f>
        <v>129076397.6030954</v>
      </c>
      <c r="J37" s="3" t="s">
        <v>43</v>
      </c>
      <c r="L37" s="33"/>
    </row>
    <row r="38" spans="1:13" x14ac:dyDescent="0.25">
      <c r="A38" s="4">
        <v>25</v>
      </c>
      <c r="B38" s="3" t="s">
        <v>1459</v>
      </c>
      <c r="C38" s="4" t="s">
        <v>1434</v>
      </c>
      <c r="D38" s="48">
        <f>2*PI()/D37</f>
        <v>24496648.222997416</v>
      </c>
      <c r="E38" s="3" t="s">
        <v>42</v>
      </c>
      <c r="F38" s="3">
        <f>CONVERT(D38,E38,G38)</f>
        <v>283.52602109950715</v>
      </c>
      <c r="G38" s="3" t="s">
        <v>108</v>
      </c>
      <c r="H38" s="67" t="s">
        <v>1464</v>
      </c>
      <c r="I38" s="3">
        <f>SQRT($E$13/I37^3)</f>
        <v>2.4841943097348824E-7</v>
      </c>
      <c r="L38" s="33"/>
    </row>
    <row r="39" spans="1:13" x14ac:dyDescent="0.25">
      <c r="A39" s="4">
        <v>26</v>
      </c>
      <c r="B39" s="3" t="s">
        <v>1453</v>
      </c>
      <c r="C39" s="4" t="s">
        <v>1429</v>
      </c>
      <c r="D39" s="3">
        <f>ACOS((D34+COS(D32))/(1+D34*COS(D32)))</f>
        <v>3.1415926535897931</v>
      </c>
      <c r="E39" s="3" t="s">
        <v>1388</v>
      </c>
      <c r="F39" s="3">
        <f>D39*180/PI()</f>
        <v>180</v>
      </c>
      <c r="G39" s="3" t="s">
        <v>1389</v>
      </c>
      <c r="H39" s="124" t="s">
        <v>1465</v>
      </c>
      <c r="I39" s="48">
        <f>2*PI()/I38</f>
        <v>25292648.334945019</v>
      </c>
      <c r="J39" s="3" t="s">
        <v>42</v>
      </c>
      <c r="K39" s="3">
        <f>CONVERT(I39,J39,L39)</f>
        <v>292.73898535815994</v>
      </c>
      <c r="L39" s="33" t="s">
        <v>108</v>
      </c>
    </row>
    <row r="40" spans="1:13" x14ac:dyDescent="0.25">
      <c r="A40" s="4">
        <v>27</v>
      </c>
      <c r="B40" s="3" t="s">
        <v>1454</v>
      </c>
      <c r="C40" s="4" t="s">
        <v>1430</v>
      </c>
      <c r="D40" s="3">
        <f>ACOS((D34+COS(D33))/(1+D34*COS(D33)))</f>
        <v>0.67628301077892716</v>
      </c>
      <c r="E40" s="3" t="s">
        <v>1388</v>
      </c>
      <c r="F40" s="3">
        <f>D40*180/PI()</f>
        <v>38.748162274032886</v>
      </c>
      <c r="G40" s="3" t="s">
        <v>1389</v>
      </c>
      <c r="H40" s="140" t="s">
        <v>1523</v>
      </c>
      <c r="I40" s="3">
        <f>SQRT(AstroConstants!$C$10*(2/'6_MissionPlan'!$K$19-1/'6_MissionPlan'!$C$30))</f>
        <v>27.288195739736139</v>
      </c>
      <c r="J40" s="138" t="s">
        <v>140</v>
      </c>
      <c r="L40" s="33"/>
    </row>
    <row r="41" spans="1:13" x14ac:dyDescent="0.25">
      <c r="A41" s="4">
        <v>28</v>
      </c>
      <c r="B41" s="3" t="s">
        <v>1455</v>
      </c>
      <c r="C41" s="4" t="s">
        <v>1431</v>
      </c>
      <c r="D41" s="48">
        <f>(D39-D34*SIN(D39))/D37</f>
        <v>12248324.111498708</v>
      </c>
      <c r="E41" s="3" t="s">
        <v>42</v>
      </c>
      <c r="F41" s="3">
        <f>CONVERT(D41,E41,G41)</f>
        <v>141.76301054975357</v>
      </c>
      <c r="G41" s="3" t="s">
        <v>108</v>
      </c>
      <c r="H41" s="140" t="s">
        <v>1524</v>
      </c>
      <c r="I41" s="3">
        <f>SQRT(AstroConstants!$C$10*(2/'6_MissionPlan'!$K$26-1/'6_MissionPlan'!$C$30))</f>
        <v>37.76894155967581</v>
      </c>
      <c r="J41" s="138" t="s">
        <v>140</v>
      </c>
      <c r="L41" s="33"/>
    </row>
    <row r="42" spans="1:13" x14ac:dyDescent="0.25">
      <c r="A42" s="4">
        <v>29</v>
      </c>
      <c r="B42" s="3" t="s">
        <v>1456</v>
      </c>
      <c r="C42" s="4" t="s">
        <v>1432</v>
      </c>
      <c r="D42" s="48">
        <f>(D40-D34*SIN(D40))/D37</f>
        <v>2185415.077746741</v>
      </c>
      <c r="E42" s="3" t="s">
        <v>42</v>
      </c>
      <c r="F42" s="3">
        <f>CONVERT(D42,E42,G42)</f>
        <v>25.294155992439133</v>
      </c>
      <c r="G42" s="3" t="s">
        <v>108</v>
      </c>
      <c r="H42" s="124" t="s">
        <v>1466</v>
      </c>
      <c r="I42" s="3">
        <f>ACOS((I35+COS(I33))/(1+I35*COS(I33)))</f>
        <v>2.7260538584775591</v>
      </c>
      <c r="J42" s="3" t="s">
        <v>1388</v>
      </c>
      <c r="K42" s="3">
        <f>I42*180/PI()</f>
        <v>156.19138081611754</v>
      </c>
      <c r="L42" s="33" t="s">
        <v>1389</v>
      </c>
    </row>
    <row r="43" spans="1:13" x14ac:dyDescent="0.25">
      <c r="A43" s="4">
        <v>30</v>
      </c>
      <c r="B43" s="3" t="s">
        <v>1460</v>
      </c>
      <c r="C43" s="4" t="s">
        <v>1433</v>
      </c>
      <c r="D43" s="48">
        <f>D41-D42</f>
        <v>10062909.033751966</v>
      </c>
      <c r="E43" s="3" t="s">
        <v>42</v>
      </c>
      <c r="F43" s="3">
        <f>CONVERT(D43,E43,G43)</f>
        <v>116.46885455731443</v>
      </c>
      <c r="G43" s="3" t="s">
        <v>108</v>
      </c>
      <c r="H43" s="124" t="s">
        <v>1467</v>
      </c>
      <c r="I43" s="3">
        <f>ACOS((I35+COS(I34))/(1+I35*COS(I34)))</f>
        <v>0.38096921650369597</v>
      </c>
      <c r="J43" s="3" t="s">
        <v>1388</v>
      </c>
      <c r="K43" s="3">
        <f>I43*180/PI()</f>
        <v>21.827928230067489</v>
      </c>
      <c r="L43" s="33" t="s">
        <v>1389</v>
      </c>
    </row>
    <row r="44" spans="1:13" x14ac:dyDescent="0.25">
      <c r="A44" s="4">
        <v>31</v>
      </c>
      <c r="C44" s="4"/>
      <c r="D44" s="48"/>
      <c r="H44" s="124" t="s">
        <v>1478</v>
      </c>
      <c r="I44" s="48">
        <f>IF(I33&gt;PI(),I39-((I42-I35*SIN(I42))/I38),(I42-I35*SIN(I42))/I38)</f>
        <v>14603113.533436593</v>
      </c>
      <c r="J44" s="3" t="s">
        <v>42</v>
      </c>
      <c r="K44" s="3">
        <f>CONVERT(I44,J44,L44)</f>
        <v>169.0175177481087</v>
      </c>
      <c r="L44" s="33" t="s">
        <v>108</v>
      </c>
    </row>
    <row r="45" spans="1:13" x14ac:dyDescent="0.25">
      <c r="A45" s="4">
        <v>32</v>
      </c>
      <c r="H45" s="124" t="s">
        <v>1477</v>
      </c>
      <c r="I45" s="48">
        <f>IF(I34&lt;=PI(),(I43-I35*SIN(I43))/I38,I39-(I43-I35*SIN(I43))/I38)</f>
        <v>24020713.859891642</v>
      </c>
      <c r="J45" s="3" t="s">
        <v>42</v>
      </c>
      <c r="K45" s="3">
        <f>CONVERT(I45,J45,L45)</f>
        <v>278.01752152652364</v>
      </c>
      <c r="L45" s="33" t="s">
        <v>108</v>
      </c>
    </row>
    <row r="46" spans="1:13" x14ac:dyDescent="0.25">
      <c r="A46" s="4">
        <v>33</v>
      </c>
      <c r="H46" s="124" t="s">
        <v>1476</v>
      </c>
      <c r="I46" s="48">
        <f>I45-I44</f>
        <v>9417600.3264550492</v>
      </c>
      <c r="J46" s="3" t="s">
        <v>42</v>
      </c>
      <c r="K46" s="3">
        <f>CONVERT(I46,J46,L46)</f>
        <v>109.00000377841492</v>
      </c>
      <c r="L46" s="33" t="s">
        <v>108</v>
      </c>
    </row>
    <row r="47" spans="1:13" x14ac:dyDescent="0.25">
      <c r="A47" s="4">
        <v>34</v>
      </c>
      <c r="H47" s="140" t="s">
        <v>1525</v>
      </c>
      <c r="I47" s="3">
        <f>ATAN(($I$35*SIN(I33))/(1+$I$35*COS(I33)))</f>
        <v>-7.1546855992940403E-2</v>
      </c>
      <c r="J47" s="138" t="s">
        <v>1388</v>
      </c>
      <c r="K47" s="3">
        <f>I47*180/PI()</f>
        <v>-4.099332885825766</v>
      </c>
      <c r="L47" s="141" t="s">
        <v>1389</v>
      </c>
      <c r="M47" s="138" t="s">
        <v>1527</v>
      </c>
    </row>
    <row r="48" spans="1:13" ht="13.5" thickBot="1" x14ac:dyDescent="0.3">
      <c r="A48" s="4">
        <v>35</v>
      </c>
      <c r="H48" s="142" t="s">
        <v>1526</v>
      </c>
      <c r="I48" s="128">
        <f>ATAN(($I$35*SIN(I34))/(1+$I$35*COS(I34)))</f>
        <v>-6.5916726957814184E-2</v>
      </c>
      <c r="J48" s="143" t="s">
        <v>1388</v>
      </c>
      <c r="K48" s="128">
        <f>I48*180/PI()</f>
        <v>-3.776750253998971</v>
      </c>
      <c r="L48" s="144" t="s">
        <v>1389</v>
      </c>
      <c r="M48" s="138" t="s">
        <v>1527</v>
      </c>
    </row>
    <row r="49" spans="1:13" x14ac:dyDescent="0.25">
      <c r="A49" s="4">
        <v>36</v>
      </c>
      <c r="H49" s="145" t="s">
        <v>1010</v>
      </c>
      <c r="I49" s="119">
        <f>180-E26</f>
        <v>176.60545278091519</v>
      </c>
      <c r="J49" s="146" t="s">
        <v>44</v>
      </c>
      <c r="K49" s="119">
        <f>I49*PI()/180</f>
        <v>3.0823466280023459</v>
      </c>
      <c r="L49" s="127" t="s">
        <v>1388</v>
      </c>
      <c r="M49" s="127" t="s">
        <v>1499</v>
      </c>
    </row>
    <row r="50" spans="1:13" x14ac:dyDescent="0.25">
      <c r="A50" s="4">
        <v>37</v>
      </c>
      <c r="H50" s="125" t="s">
        <v>1482</v>
      </c>
      <c r="I50" s="3">
        <f>H26+180-F19</f>
        <v>60.10218602178432</v>
      </c>
      <c r="J50" s="115" t="s">
        <v>44</v>
      </c>
      <c r="K50" s="3">
        <f t="shared" ref="K50:K52" si="0">I50*PI()/180</f>
        <v>1.0489810337262488</v>
      </c>
      <c r="L50" s="3" t="s">
        <v>1388</v>
      </c>
    </row>
    <row r="51" spans="1:13" x14ac:dyDescent="0.25">
      <c r="A51" s="4">
        <v>38</v>
      </c>
      <c r="H51" s="125" t="s">
        <v>1483</v>
      </c>
      <c r="I51" s="3">
        <f>F26-(H26+180)</f>
        <v>73.94519964979736</v>
      </c>
      <c r="J51" s="115" t="s">
        <v>44</v>
      </c>
      <c r="K51" s="3">
        <f t="shared" si="0"/>
        <v>1.2905871999335219</v>
      </c>
      <c r="L51" s="3" t="s">
        <v>1388</v>
      </c>
      <c r="M51" s="126" t="s">
        <v>1497</v>
      </c>
    </row>
    <row r="52" spans="1:13" x14ac:dyDescent="0.25">
      <c r="A52" s="4">
        <v>39</v>
      </c>
      <c r="H52" s="125" t="s">
        <v>1484</v>
      </c>
      <c r="I52" s="54">
        <f>SQRT((I51^2)+(E26^2))</f>
        <v>74.023074119297334</v>
      </c>
      <c r="J52" s="115" t="s">
        <v>44</v>
      </c>
      <c r="K52" s="3">
        <f t="shared" si="0"/>
        <v>1.2919463658295403</v>
      </c>
      <c r="L52" s="3" t="s">
        <v>1388</v>
      </c>
      <c r="M52" s="54" t="s">
        <v>1503</v>
      </c>
    </row>
    <row r="53" spans="1:13" x14ac:dyDescent="0.25">
      <c r="A53" s="4">
        <v>40</v>
      </c>
      <c r="H53" s="147" t="s">
        <v>1501</v>
      </c>
      <c r="I53" s="3">
        <f>COS(K50)*COS(K52)+SIN(K50)*SIN(K52)*COS(K49)</f>
        <v>-0.69476705279059658</v>
      </c>
      <c r="J53" s="126"/>
    </row>
    <row r="54" spans="1:13" x14ac:dyDescent="0.25">
      <c r="A54" s="4">
        <v>41</v>
      </c>
      <c r="H54" s="148" t="s">
        <v>1498</v>
      </c>
      <c r="I54" s="3">
        <f>ACOS(I53)*180/PI()</f>
        <v>134.00865723440424</v>
      </c>
      <c r="J54" s="129" t="s">
        <v>44</v>
      </c>
      <c r="K54" s="3">
        <f t="shared" ref="K54" si="1">I54*PI()/180</f>
        <v>2.3388922949168727</v>
      </c>
      <c r="L54" s="3" t="s">
        <v>1388</v>
      </c>
    </row>
    <row r="55" spans="1:13" x14ac:dyDescent="0.25">
      <c r="A55" s="4">
        <v>42</v>
      </c>
      <c r="H55" s="148" t="s">
        <v>1500</v>
      </c>
      <c r="I55" s="3">
        <f>SIN(K49)*SIN(K52)/SIN(K54)</f>
        <v>7.9145488178855833E-2</v>
      </c>
      <c r="J55" s="115"/>
    </row>
    <row r="56" spans="1:13" ht="13.5" thickBot="1" x14ac:dyDescent="0.3">
      <c r="A56" s="4">
        <v>43</v>
      </c>
      <c r="H56" s="149" t="s">
        <v>1502</v>
      </c>
      <c r="I56" s="128">
        <f>ASIN(I55)*180/PI()</f>
        <v>4.5394500706223591</v>
      </c>
      <c r="J56" s="150" t="s">
        <v>44</v>
      </c>
      <c r="K56" s="128">
        <f t="shared" ref="K56" si="2">I56*PI()/180</f>
        <v>7.9228349962249284E-2</v>
      </c>
      <c r="L56" s="128" t="s">
        <v>1388</v>
      </c>
    </row>
    <row r="57" spans="1:13" x14ac:dyDescent="0.25">
      <c r="A57" s="4">
        <v>44</v>
      </c>
      <c r="H57" s="129"/>
      <c r="I57" s="3">
        <f>ACOS(COS(I56)*COS(I47+I48))</f>
        <v>1.7420876363553082</v>
      </c>
      <c r="J57" s="129"/>
      <c r="K57" s="3">
        <f>I57*180/PI()</f>
        <v>99.81426910508047</v>
      </c>
    </row>
    <row r="58" spans="1:13" x14ac:dyDescent="0.25">
      <c r="A58" s="4">
        <v>45</v>
      </c>
      <c r="H58" s="129"/>
      <c r="J58" s="129"/>
    </row>
    <row r="59" spans="1:13" x14ac:dyDescent="0.25">
      <c r="A59" s="4"/>
      <c r="H59" s="129"/>
      <c r="J59" s="129"/>
    </row>
    <row r="60" spans="1:13" x14ac:dyDescent="0.25">
      <c r="A60" s="4"/>
      <c r="H60" s="129"/>
      <c r="J60" s="129"/>
    </row>
    <row r="61" spans="1:13" x14ac:dyDescent="0.25">
      <c r="A61" s="4"/>
      <c r="H61" s="115"/>
      <c r="J61" s="115"/>
    </row>
    <row r="62" spans="1:13" x14ac:dyDescent="0.25">
      <c r="H62" s="115"/>
      <c r="J62" s="115"/>
    </row>
    <row r="64" spans="1:13" x14ac:dyDescent="0.25">
      <c r="B64" s="37" t="s">
        <v>1435</v>
      </c>
    </row>
    <row r="65" spans="1:3" hidden="1" x14ac:dyDescent="0.25">
      <c r="A65" s="4" t="s">
        <v>8</v>
      </c>
      <c r="C65" s="4"/>
    </row>
    <row r="66" spans="1:3" hidden="1" x14ac:dyDescent="0.25">
      <c r="A66" s="4">
        <v>1</v>
      </c>
      <c r="C66" s="4"/>
    </row>
    <row r="69" spans="1:3" x14ac:dyDescent="0.25">
      <c r="B69" s="37" t="s">
        <v>1436</v>
      </c>
    </row>
    <row r="70" spans="1:3" hidden="1" x14ac:dyDescent="0.25">
      <c r="A70" s="4" t="s">
        <v>8</v>
      </c>
      <c r="C70" s="4"/>
    </row>
    <row r="71" spans="1:3" hidden="1" x14ac:dyDescent="0.25">
      <c r="A71" s="4">
        <v>1</v>
      </c>
      <c r="C71" s="4"/>
    </row>
  </sheetData>
  <hyperlinks>
    <hyperlink ref="B1" location="WS_Navigation!B2" tooltip="go to navigation sheet" display="Navigate to Worksheet TOC (table of contents)" xr:uid="{3D7F710E-A02E-41DD-83E6-0DCEBE4A403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Line="0" autoPict="0" macro="[1]!viewHideMissionPlan">
                <anchor>
                  <from>
                    <xdr:col>4</xdr:col>
                    <xdr:colOff>247650</xdr:colOff>
                    <xdr:row>2</xdr:row>
                    <xdr:rowOff>85725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Line="0" autoPict="0" macro="[1]!calcMissonPlan">
                <anchor>
                  <from>
                    <xdr:col>4</xdr:col>
                    <xdr:colOff>247650</xdr:colOff>
                    <xdr:row>4</xdr:row>
                    <xdr:rowOff>76200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6C782-F2D5-4607-B79D-57E39D906B57}">
  <sheetPr codeName="Sheet12"/>
  <dimension ref="A1:O158"/>
  <sheetViews>
    <sheetView zoomScale="80" zoomScaleNormal="80" workbookViewId="0">
      <selection activeCell="E12" sqref="E12"/>
    </sheetView>
  </sheetViews>
  <sheetFormatPr defaultRowHeight="12.75" x14ac:dyDescent="0.25"/>
  <cols>
    <col min="1" max="1" width="6.7109375" style="3" customWidth="1"/>
    <col min="2" max="4" width="15.7109375" style="3" customWidth="1"/>
    <col min="5" max="8" width="14.7109375" style="3" customWidth="1"/>
    <col min="9" max="9" width="2.7109375" style="3" customWidth="1"/>
    <col min="10" max="10" width="14.140625" style="3" customWidth="1"/>
    <col min="11" max="13" width="10.7109375" style="3" customWidth="1"/>
    <col min="14" max="15" width="15.28515625" style="3" bestFit="1" customWidth="1"/>
    <col min="16" max="16" width="13" style="3" bestFit="1" customWidth="1"/>
    <col min="17" max="18" width="13.7109375" style="3" bestFit="1" customWidth="1"/>
    <col min="19" max="16384" width="9.140625" style="3"/>
  </cols>
  <sheetData>
    <row r="1" spans="1:13" x14ac:dyDescent="0.25">
      <c r="A1" s="2" t="s">
        <v>1</v>
      </c>
      <c r="B1" s="1" t="s">
        <v>0</v>
      </c>
    </row>
    <row r="2" spans="1:13" x14ac:dyDescent="0.25">
      <c r="A2" s="2" t="s">
        <v>2</v>
      </c>
      <c r="B2" s="2" t="s">
        <v>1205</v>
      </c>
    </row>
    <row r="3" spans="1:13" x14ac:dyDescent="0.25">
      <c r="A3" s="2" t="s">
        <v>3</v>
      </c>
      <c r="B3" s="1" t="str">
        <f>HYPERLINK("..\Maple\OrbitalMech\SpreadsheetFiles\OrbitTools(jb1).xlsm","Orbital Tools")</f>
        <v>Orbital Tools</v>
      </c>
      <c r="C3" s="3" t="s">
        <v>14</v>
      </c>
    </row>
    <row r="4" spans="1:13" x14ac:dyDescent="0.25">
      <c r="B4" s="53" t="str">
        <f>HYPERLINK("#MainMenu!B7","Main Menu")</f>
        <v>Main Menu</v>
      </c>
    </row>
    <row r="5" spans="1:13" x14ac:dyDescent="0.25">
      <c r="B5" s="10" t="s">
        <v>80</v>
      </c>
    </row>
    <row r="7" spans="1:13" x14ac:dyDescent="0.25">
      <c r="B7" s="23" t="s">
        <v>1370</v>
      </c>
      <c r="C7" s="25"/>
    </row>
    <row r="8" spans="1:13" ht="13.5" thickBot="1" x14ac:dyDescent="0.3">
      <c r="B8" s="96" t="s">
        <v>1371</v>
      </c>
      <c r="C8" s="97" t="s">
        <v>1372</v>
      </c>
    </row>
    <row r="9" spans="1:13" x14ac:dyDescent="0.25">
      <c r="A9" s="4">
        <v>1</v>
      </c>
      <c r="B9" s="99" t="str">
        <f>B34</f>
        <v>Table2-Orbital Elements, 2-coefficient: 1800 AD &lt;-&gt; 2050 AD</v>
      </c>
      <c r="C9" s="100" t="s">
        <v>1225</v>
      </c>
      <c r="G9" s="3" t="s">
        <v>1375</v>
      </c>
      <c r="H9" s="3">
        <v>149597870</v>
      </c>
    </row>
    <row r="10" spans="1:13" x14ac:dyDescent="0.25">
      <c r="A10" s="4">
        <v>2</v>
      </c>
      <c r="B10" s="32" t="str">
        <f>B58</f>
        <v>Table3a-Orbital Elements, 2-coefficient: 3000 BC&lt;-&gt; 3000 AD</v>
      </c>
      <c r="C10" s="101" t="s">
        <v>1211</v>
      </c>
    </row>
    <row r="11" spans="1:13" x14ac:dyDescent="0.25">
      <c r="A11" s="4">
        <v>3</v>
      </c>
      <c r="B11" s="32" t="str">
        <f>B90</f>
        <v>Table4-Orbital Elements, 4-coefficient</v>
      </c>
      <c r="C11" s="101" t="s">
        <v>1373</v>
      </c>
    </row>
    <row r="12" spans="1:13" x14ac:dyDescent="0.25">
      <c r="A12" s="4">
        <v>4</v>
      </c>
      <c r="B12" s="20" t="str">
        <f>B135</f>
        <v>Table5-Orbital Elements, 2-coefficient</v>
      </c>
      <c r="C12" s="102" t="s">
        <v>1355</v>
      </c>
    </row>
    <row r="15" spans="1:13" ht="13.5" thickBot="1" x14ac:dyDescent="0.3">
      <c r="B15" s="37" t="s">
        <v>1333</v>
      </c>
    </row>
    <row r="16" spans="1:13" x14ac:dyDescent="0.25">
      <c r="A16" s="4" t="s">
        <v>8</v>
      </c>
      <c r="B16" s="78" t="s">
        <v>1337</v>
      </c>
      <c r="C16" s="78" t="s">
        <v>928</v>
      </c>
      <c r="D16" s="78" t="s">
        <v>67</v>
      </c>
      <c r="E16" s="78" t="s">
        <v>66</v>
      </c>
      <c r="F16" s="93" t="s">
        <v>1368</v>
      </c>
      <c r="M16" s="4"/>
    </row>
    <row r="17" spans="1:15" x14ac:dyDescent="0.25">
      <c r="A17" s="4">
        <v>1</v>
      </c>
      <c r="B17" s="24" t="s">
        <v>1148</v>
      </c>
      <c r="C17" s="59" t="s">
        <v>1134</v>
      </c>
      <c r="D17" s="108">
        <v>2447259.5</v>
      </c>
      <c r="E17" s="59" t="s">
        <v>1190</v>
      </c>
      <c r="F17" s="95" t="s">
        <v>1373</v>
      </c>
      <c r="G17" s="3" t="s">
        <v>1339</v>
      </c>
    </row>
    <row r="18" spans="1:15" ht="13.5" thickBot="1" x14ac:dyDescent="0.3">
      <c r="A18" s="4">
        <v>2</v>
      </c>
      <c r="B18" s="89" t="s">
        <v>1336</v>
      </c>
      <c r="C18" s="92" t="s">
        <v>1197</v>
      </c>
      <c r="D18" s="90" t="s">
        <v>1381</v>
      </c>
      <c r="E18" s="92" t="s">
        <v>1191</v>
      </c>
      <c r="F18" s="94"/>
      <c r="G18" s="3" t="s">
        <v>1447</v>
      </c>
    </row>
    <row r="19" spans="1:15" x14ac:dyDescent="0.25">
      <c r="A19" s="4">
        <v>3</v>
      </c>
      <c r="C19" s="5" t="s">
        <v>29</v>
      </c>
      <c r="D19" s="5" t="s">
        <v>28</v>
      </c>
      <c r="E19" s="5" t="s">
        <v>1165</v>
      </c>
      <c r="F19" s="5" t="s">
        <v>1166</v>
      </c>
      <c r="G19" s="5" t="s">
        <v>1344</v>
      </c>
      <c r="H19" s="5" t="s">
        <v>1347</v>
      </c>
      <c r="J19" s="4" t="s">
        <v>1340</v>
      </c>
      <c r="K19" s="4" t="s">
        <v>1342</v>
      </c>
      <c r="L19" s="4" t="s">
        <v>156</v>
      </c>
      <c r="N19" s="4" t="s">
        <v>29</v>
      </c>
      <c r="O19" s="4" t="s">
        <v>115</v>
      </c>
    </row>
    <row r="20" spans="1:15" ht="13.5" thickBot="1" x14ac:dyDescent="0.3">
      <c r="A20" s="4">
        <v>4</v>
      </c>
      <c r="B20" s="8" t="s">
        <v>65</v>
      </c>
      <c r="C20" s="36" t="s">
        <v>1387</v>
      </c>
      <c r="D20" s="36" t="s">
        <v>1338</v>
      </c>
      <c r="E20" s="36" t="s">
        <v>1341</v>
      </c>
      <c r="F20" s="36" t="s">
        <v>1341</v>
      </c>
      <c r="G20" s="36" t="s">
        <v>1341</v>
      </c>
      <c r="H20" s="36" t="s">
        <v>1341</v>
      </c>
      <c r="J20" s="91" t="s">
        <v>1341</v>
      </c>
      <c r="K20" s="91" t="s">
        <v>1341</v>
      </c>
      <c r="N20" s="4" t="s">
        <v>1376</v>
      </c>
      <c r="O20" s="4" t="s">
        <v>1376</v>
      </c>
    </row>
    <row r="21" spans="1:15" x14ac:dyDescent="0.25">
      <c r="A21" s="4">
        <v>5</v>
      </c>
      <c r="B21" s="3" t="s">
        <v>86</v>
      </c>
    </row>
    <row r="22" spans="1:15" x14ac:dyDescent="0.25">
      <c r="A22" s="4">
        <v>6</v>
      </c>
      <c r="B22" s="3" t="s">
        <v>87</v>
      </c>
      <c r="C22" s="3">
        <v>0.38709831</v>
      </c>
      <c r="D22" s="3">
        <v>0.20562935524523768</v>
      </c>
      <c r="E22" s="3">
        <v>7.0047720330568017</v>
      </c>
      <c r="F22" s="3">
        <v>354.36900399003679</v>
      </c>
      <c r="G22" s="3">
        <v>77.273500623487791</v>
      </c>
      <c r="H22" s="3">
        <v>48.191719234973291</v>
      </c>
      <c r="J22" s="3">
        <f>G22-H22</f>
        <v>29.0817813885145</v>
      </c>
      <c r="K22" s="3">
        <f t="shared" ref="K22:K24" si="0">IF(F22-G22&gt;0,F22-G22,360+(F22-G22))</f>
        <v>277.095503366549</v>
      </c>
      <c r="L22" s="3">
        <f>F22-J22</f>
        <v>325.28722260152227</v>
      </c>
      <c r="N22" s="48">
        <f>C22*$H$9</f>
        <v>57909082.6565997</v>
      </c>
      <c r="O22" s="48">
        <f>N22*(1-D22^2)/(1+D22*COS(L22))</f>
        <v>53994936.830431968</v>
      </c>
    </row>
    <row r="23" spans="1:15" x14ac:dyDescent="0.25">
      <c r="A23" s="4">
        <v>7</v>
      </c>
      <c r="B23" s="3" t="s">
        <v>88</v>
      </c>
      <c r="C23" s="3">
        <v>0.72332982000000001</v>
      </c>
      <c r="D23" s="3">
        <v>6.777525645640793E-3</v>
      </c>
      <c r="E23" s="3">
        <v>3.3945442231781322</v>
      </c>
      <c r="F23" s="3">
        <v>155.88569326615712</v>
      </c>
      <c r="G23" s="3">
        <v>131.39916385386644</v>
      </c>
      <c r="H23" s="3">
        <v>76.57419657521497</v>
      </c>
      <c r="J23" s="3">
        <f t="shared" ref="J23:J30" si="1">G23-H23</f>
        <v>54.824967278651471</v>
      </c>
      <c r="K23" s="3">
        <f t="shared" si="0"/>
        <v>24.486529412290679</v>
      </c>
      <c r="L23" s="3">
        <f>F23-J23</f>
        <v>101.06072598750565</v>
      </c>
      <c r="N23" s="48">
        <f t="shared" ref="N23:N30" si="2">C23*$H$9</f>
        <v>108208600.3794834</v>
      </c>
      <c r="O23" s="48">
        <f t="shared" ref="O23:O30" si="3">N23*(1-D23^2)/(1+D23*COS(L23))</f>
        <v>107574478.82542604</v>
      </c>
    </row>
    <row r="24" spans="1:15" x14ac:dyDescent="0.25">
      <c r="A24" s="4">
        <v>8</v>
      </c>
      <c r="B24" s="3" t="s">
        <v>15</v>
      </c>
      <c r="C24" s="3">
        <v>1.0000010180000001</v>
      </c>
      <c r="D24" s="3">
        <v>1.6713560481804588E-2</v>
      </c>
      <c r="E24" s="3">
        <v>0</v>
      </c>
      <c r="F24" s="3">
        <v>196.47469944837425</v>
      </c>
      <c r="G24" s="3">
        <v>102.73560003642136</v>
      </c>
      <c r="H24" s="3">
        <v>0</v>
      </c>
      <c r="J24" s="3">
        <f t="shared" si="1"/>
        <v>102.73560003642136</v>
      </c>
      <c r="K24" s="3">
        <f t="shared" si="0"/>
        <v>93.739099411952893</v>
      </c>
      <c r="L24" s="3">
        <f>F24-J24</f>
        <v>93.739099411952893</v>
      </c>
      <c r="N24" s="48">
        <f t="shared" si="2"/>
        <v>149598022.29063168</v>
      </c>
      <c r="O24" s="48">
        <f t="shared" si="3"/>
        <v>147404507.03678763</v>
      </c>
    </row>
    <row r="25" spans="1:15" x14ac:dyDescent="0.25">
      <c r="A25" s="4">
        <v>9</v>
      </c>
      <c r="B25" s="3" t="s">
        <v>89</v>
      </c>
      <c r="C25" s="3">
        <v>1.5236793420000001</v>
      </c>
      <c r="D25" s="3">
        <v>9.3390032349224786E-2</v>
      </c>
      <c r="E25" s="3">
        <v>1.849796703092393</v>
      </c>
      <c r="F25" s="3">
        <v>269.5263615903537</v>
      </c>
      <c r="G25" s="3">
        <v>335.84422496001451</v>
      </c>
      <c r="H25" s="3">
        <v>49.467502738965614</v>
      </c>
      <c r="J25" s="3">
        <f t="shared" si="1"/>
        <v>286.37672222104891</v>
      </c>
      <c r="K25" s="3">
        <f>IF(F25-G25&gt;0,F25-G25,360+(F25-G25))</f>
        <v>293.68213663033919</v>
      </c>
      <c r="L25" s="3">
        <f t="shared" ref="L25:L30" si="4">F25-J25</f>
        <v>-16.850360630695207</v>
      </c>
      <c r="N25" s="48">
        <f t="shared" si="2"/>
        <v>227939184.12620157</v>
      </c>
      <c r="O25" s="48">
        <f t="shared" si="3"/>
        <v>235070887.87753564</v>
      </c>
    </row>
    <row r="26" spans="1:15" x14ac:dyDescent="0.25">
      <c r="A26" s="4">
        <v>10</v>
      </c>
      <c r="B26" s="3" t="s">
        <v>90</v>
      </c>
      <c r="C26" s="3">
        <v>5.2026031865546578</v>
      </c>
      <c r="D26" s="3">
        <v>4.8478772256343609E-2</v>
      </c>
      <c r="E26" s="3">
        <v>1.3039119717730459</v>
      </c>
      <c r="F26" s="3">
        <v>38.100309441400974</v>
      </c>
      <c r="G26" s="3">
        <v>14.142009744142893</v>
      </c>
      <c r="H26" s="3">
        <v>100.34462066298317</v>
      </c>
      <c r="J26" s="3">
        <f t="shared" si="1"/>
        <v>-86.202610918840278</v>
      </c>
      <c r="K26" s="3">
        <f t="shared" ref="K26:K30" si="5">IF(F26-G26&gt;0,F26-G26,360+(F26-G26))</f>
        <v>23.958299697258081</v>
      </c>
      <c r="L26" s="3">
        <f t="shared" si="4"/>
        <v>124.30292036024125</v>
      </c>
      <c r="N26" s="48">
        <f t="shared" si="2"/>
        <v>778298355.16378939</v>
      </c>
      <c r="O26" s="48">
        <f t="shared" si="3"/>
        <v>768700426.54461718</v>
      </c>
    </row>
    <row r="27" spans="1:15" x14ac:dyDescent="0.25">
      <c r="A27" s="4">
        <v>11</v>
      </c>
      <c r="B27" s="3" t="s">
        <v>91</v>
      </c>
      <c r="C27" s="3">
        <v>9.5549094430252097</v>
      </c>
      <c r="D27" s="3">
        <v>5.5588802729357678E-2</v>
      </c>
      <c r="E27" s="3">
        <v>2.4893171613176612</v>
      </c>
      <c r="F27" s="3">
        <v>266.5221688876224</v>
      </c>
      <c r="G27" s="3">
        <v>92.826839239156172</v>
      </c>
      <c r="H27" s="3">
        <v>113.56259207009697</v>
      </c>
      <c r="J27" s="3">
        <f t="shared" si="1"/>
        <v>-20.735752830940797</v>
      </c>
      <c r="K27" s="3">
        <f t="shared" si="5"/>
        <v>173.69532964846621</v>
      </c>
      <c r="L27" s="3">
        <f t="shared" si="4"/>
        <v>287.25792171856318</v>
      </c>
      <c r="N27" s="48">
        <f t="shared" si="2"/>
        <v>1429394100.7194576</v>
      </c>
      <c r="O27" s="48">
        <f t="shared" si="3"/>
        <v>1440715830.725791</v>
      </c>
    </row>
    <row r="28" spans="1:15" x14ac:dyDescent="0.25">
      <c r="A28" s="4">
        <v>12</v>
      </c>
      <c r="B28" s="3" t="s">
        <v>92</v>
      </c>
      <c r="C28" s="3">
        <v>19.218446066378188</v>
      </c>
      <c r="D28" s="3">
        <v>4.6384423389729222E-2</v>
      </c>
      <c r="E28" s="3">
        <v>0.77310665544036949</v>
      </c>
      <c r="F28" s="3">
        <v>263.61880350483244</v>
      </c>
      <c r="G28" s="3">
        <v>172.83089621296673</v>
      </c>
      <c r="H28" s="3">
        <v>73.94483117481947</v>
      </c>
      <c r="J28" s="3">
        <f t="shared" si="1"/>
        <v>98.886065038147265</v>
      </c>
      <c r="K28" s="3">
        <f t="shared" si="5"/>
        <v>90.787907291865707</v>
      </c>
      <c r="L28" s="3">
        <f t="shared" si="4"/>
        <v>164.73273846668519</v>
      </c>
      <c r="N28" s="48">
        <f t="shared" si="2"/>
        <v>2875038596.2400556</v>
      </c>
      <c r="O28" s="48">
        <f t="shared" si="3"/>
        <v>2842545224.3371258</v>
      </c>
    </row>
    <row r="29" spans="1:15" x14ac:dyDescent="0.25">
      <c r="A29" s="4">
        <v>13</v>
      </c>
      <c r="B29" s="3" t="s">
        <v>93</v>
      </c>
      <c r="C29" s="3">
        <v>30.110386888521578</v>
      </c>
      <c r="D29" s="3">
        <v>9.4550421445982157E-3</v>
      </c>
      <c r="E29" s="3">
        <v>1.7710450391386636</v>
      </c>
      <c r="F29" s="3">
        <v>278.54962964622331</v>
      </c>
      <c r="G29" s="3">
        <v>47.952933167157113</v>
      </c>
      <c r="H29" s="3">
        <v>131.6547383337728</v>
      </c>
      <c r="J29" s="3">
        <f t="shared" si="1"/>
        <v>-83.701805166615685</v>
      </c>
      <c r="K29" s="3">
        <f t="shared" si="5"/>
        <v>230.5966964790662</v>
      </c>
      <c r="L29" s="3">
        <f t="shared" si="4"/>
        <v>362.25143481283897</v>
      </c>
      <c r="N29" s="48">
        <f t="shared" si="2"/>
        <v>4504449743.3987551</v>
      </c>
      <c r="O29" s="48">
        <f t="shared" si="3"/>
        <v>4528311289.4133263</v>
      </c>
    </row>
    <row r="30" spans="1:15" x14ac:dyDescent="0.25">
      <c r="A30" s="4">
        <v>14</v>
      </c>
      <c r="B30" s="3" t="s">
        <v>94</v>
      </c>
      <c r="C30" s="3">
        <v>39.481686795067034</v>
      </c>
      <c r="D30" s="3">
        <v>0.24880765789293807</v>
      </c>
      <c r="E30" s="3">
        <v>17.141389208418911</v>
      </c>
      <c r="F30" s="3">
        <v>221.89149822381958</v>
      </c>
      <c r="G30" s="3">
        <v>224.07107026979261</v>
      </c>
      <c r="H30" s="3">
        <v>110.30468665309162</v>
      </c>
      <c r="J30" s="3">
        <f t="shared" si="1"/>
        <v>113.76638361670099</v>
      </c>
      <c r="K30" s="3">
        <f t="shared" si="5"/>
        <v>357.82042795402697</v>
      </c>
      <c r="L30" s="3">
        <f t="shared" si="4"/>
        <v>108.12511460711859</v>
      </c>
      <c r="N30" s="48">
        <f t="shared" si="2"/>
        <v>5906376248.5491552</v>
      </c>
      <c r="O30" s="48">
        <f t="shared" si="3"/>
        <v>5207838822.4445095</v>
      </c>
    </row>
    <row r="31" spans="1:15" x14ac:dyDescent="0.25">
      <c r="A31" s="4">
        <v>15</v>
      </c>
      <c r="B31" s="3" t="s">
        <v>95</v>
      </c>
    </row>
    <row r="33" spans="1:15" ht="15" x14ac:dyDescent="0.25">
      <c r="B33" s="74" t="s">
        <v>1210</v>
      </c>
    </row>
    <row r="34" spans="1:15" x14ac:dyDescent="0.25">
      <c r="B34" s="37" t="s">
        <v>1240</v>
      </c>
    </row>
    <row r="35" spans="1:15" x14ac:dyDescent="0.25">
      <c r="A35" s="4" t="s">
        <v>8</v>
      </c>
      <c r="C35" s="3" t="s">
        <v>1220</v>
      </c>
      <c r="D35" s="70" t="s">
        <v>1213</v>
      </c>
      <c r="E35" s="3">
        <v>2378496.5</v>
      </c>
      <c r="J35" s="3" t="s">
        <v>1167</v>
      </c>
    </row>
    <row r="36" spans="1:15" x14ac:dyDescent="0.25">
      <c r="A36" s="4">
        <v>1</v>
      </c>
      <c r="C36" s="3" t="s">
        <v>1221</v>
      </c>
      <c r="D36" s="70" t="s">
        <v>1214</v>
      </c>
      <c r="E36" s="3">
        <v>2469807.5</v>
      </c>
      <c r="J36" s="3" t="s">
        <v>1168</v>
      </c>
    </row>
    <row r="37" spans="1:15" x14ac:dyDescent="0.25">
      <c r="A37" s="4">
        <v>2</v>
      </c>
      <c r="C37" s="3" t="s">
        <v>1222</v>
      </c>
      <c r="D37" s="4" t="s">
        <v>1212</v>
      </c>
      <c r="E37" s="3">
        <v>2451545</v>
      </c>
      <c r="J37" s="3" t="s">
        <v>1169</v>
      </c>
    </row>
    <row r="38" spans="1:15" x14ac:dyDescent="0.25">
      <c r="A38" s="4">
        <v>3</v>
      </c>
      <c r="C38" s="5" t="s">
        <v>29</v>
      </c>
      <c r="D38" s="5" t="s">
        <v>28</v>
      </c>
      <c r="E38" s="5" t="s">
        <v>1165</v>
      </c>
      <c r="F38" s="5" t="s">
        <v>1166</v>
      </c>
      <c r="G38" s="5" t="s">
        <v>1344</v>
      </c>
      <c r="H38" s="5" t="s">
        <v>1347</v>
      </c>
      <c r="I38" s="5"/>
      <c r="J38" s="3" t="s">
        <v>1170</v>
      </c>
    </row>
    <row r="39" spans="1:15" ht="13.5" thickBot="1" x14ac:dyDescent="0.3">
      <c r="A39" s="4">
        <v>4</v>
      </c>
      <c r="B39" s="8" t="s">
        <v>65</v>
      </c>
      <c r="C39" s="36" t="s">
        <v>1208</v>
      </c>
      <c r="D39" s="36" t="s">
        <v>1338</v>
      </c>
      <c r="E39" s="36" t="s">
        <v>1209</v>
      </c>
      <c r="F39" s="36" t="s">
        <v>1209</v>
      </c>
      <c r="G39" s="36" t="s">
        <v>1209</v>
      </c>
      <c r="H39" s="36" t="s">
        <v>1209</v>
      </c>
      <c r="I39" s="4"/>
      <c r="J39" s="3" t="s">
        <v>1171</v>
      </c>
    </row>
    <row r="40" spans="1:15" x14ac:dyDescent="0.25">
      <c r="A40" s="4">
        <v>5</v>
      </c>
      <c r="B40" s="3" t="s">
        <v>87</v>
      </c>
      <c r="C40" s="3">
        <v>0.38709927</v>
      </c>
      <c r="D40" s="3">
        <v>0.20563592999999999</v>
      </c>
      <c r="E40" s="3">
        <v>7.0049790200000004</v>
      </c>
      <c r="F40" s="3">
        <v>252.25032350000001</v>
      </c>
      <c r="G40" s="3">
        <v>77.457796279999997</v>
      </c>
      <c r="H40" s="3">
        <v>48.330765929999998</v>
      </c>
      <c r="J40" s="3">
        <v>0.3870992276918549</v>
      </c>
      <c r="K40" s="3">
        <v>0.20563375055879535</v>
      </c>
      <c r="L40" s="3">
        <v>7.0056590937025405</v>
      </c>
      <c r="M40" s="3">
        <v>80.597389133821693</v>
      </c>
      <c r="N40" s="3">
        <v>77.439446335274965</v>
      </c>
      <c r="O40" s="3">
        <v>48.345098192641125</v>
      </c>
    </row>
    <row r="41" spans="1:15" x14ac:dyDescent="0.25">
      <c r="A41" s="4">
        <v>6</v>
      </c>
      <c r="C41" s="3">
        <v>3.7E-7</v>
      </c>
      <c r="D41" s="3">
        <v>1.906E-5</v>
      </c>
      <c r="E41" s="3">
        <v>-5.9474899999999997E-3</v>
      </c>
      <c r="F41" s="3">
        <v>149472.67411175001</v>
      </c>
      <c r="G41" s="3">
        <v>0.16047689000000001</v>
      </c>
      <c r="H41" s="3">
        <v>-0.12534081</v>
      </c>
    </row>
    <row r="42" spans="1:15" x14ac:dyDescent="0.25">
      <c r="A42" s="4">
        <v>7</v>
      </c>
      <c r="B42" s="3" t="s">
        <v>88</v>
      </c>
      <c r="C42" s="3">
        <v>0.72333566000000005</v>
      </c>
      <c r="D42" s="3">
        <v>6.77672E-3</v>
      </c>
      <c r="E42" s="3">
        <v>3.3946760500000002</v>
      </c>
      <c r="F42" s="3">
        <v>181.97909949999999</v>
      </c>
      <c r="G42" s="3">
        <v>131.60246717999999</v>
      </c>
      <c r="H42" s="3">
        <v>76.679842550000004</v>
      </c>
      <c r="J42" s="3">
        <v>0.72333521404928136</v>
      </c>
      <c r="K42" s="3">
        <v>6.7814162041067759E-3</v>
      </c>
      <c r="L42" s="3">
        <v>3.3947662578261508</v>
      </c>
      <c r="M42" s="3">
        <v>330.68119491363609</v>
      </c>
      <c r="N42" s="3">
        <v>131.6021603556145</v>
      </c>
      <c r="O42" s="3">
        <v>76.711595862601598</v>
      </c>
    </row>
    <row r="43" spans="1:15" x14ac:dyDescent="0.25">
      <c r="A43" s="4">
        <v>8</v>
      </c>
      <c r="C43" s="3">
        <v>3.8999999999999999E-6</v>
      </c>
      <c r="D43" s="3">
        <v>-4.1069999999999998E-5</v>
      </c>
      <c r="E43" s="3">
        <v>-7.8890000000000004E-4</v>
      </c>
      <c r="F43" s="3">
        <v>58517.81538729</v>
      </c>
      <c r="G43" s="3">
        <v>2.6832900000000001E-3</v>
      </c>
      <c r="H43" s="3">
        <v>-0.27769418000000001</v>
      </c>
    </row>
    <row r="44" spans="1:15" x14ac:dyDescent="0.25">
      <c r="A44" s="4">
        <v>9</v>
      </c>
      <c r="B44" s="3" t="s">
        <v>1207</v>
      </c>
      <c r="C44" s="3">
        <v>1.0000026099999999</v>
      </c>
      <c r="D44" s="3">
        <v>1.6711230000000001E-2</v>
      </c>
      <c r="E44" s="3">
        <v>-1.5310000000000001E-5</v>
      </c>
      <c r="F44" s="3">
        <v>100.46457166</v>
      </c>
      <c r="G44" s="3">
        <v>102.93768193</v>
      </c>
      <c r="H44" s="3">
        <v>0</v>
      </c>
    </row>
    <row r="45" spans="1:15" x14ac:dyDescent="0.25">
      <c r="A45" s="4">
        <v>10</v>
      </c>
      <c r="C45" s="3">
        <v>5.6200000000000004E-6</v>
      </c>
      <c r="D45" s="3">
        <v>-4.392E-5</v>
      </c>
      <c r="E45" s="3">
        <v>-1.294668E-2</v>
      </c>
      <c r="F45" s="3">
        <v>35999.372449809998</v>
      </c>
      <c r="G45" s="3">
        <v>0.32327363999999997</v>
      </c>
      <c r="H45" s="3">
        <v>0</v>
      </c>
    </row>
    <row r="46" spans="1:15" x14ac:dyDescent="0.25">
      <c r="A46" s="4">
        <v>11</v>
      </c>
      <c r="B46" s="3" t="s">
        <v>89</v>
      </c>
      <c r="C46" s="3">
        <v>1.5237103400000001</v>
      </c>
      <c r="D46" s="3">
        <v>9.3394099999999994E-2</v>
      </c>
      <c r="E46" s="3">
        <v>1.8496914200000001</v>
      </c>
      <c r="F46" s="3">
        <v>-4.5534320499999996</v>
      </c>
      <c r="G46" s="3">
        <v>-23.94362959</v>
      </c>
      <c r="H46" s="3">
        <v>49.559538910000001</v>
      </c>
      <c r="J46" s="3">
        <v>1.5237082280231349</v>
      </c>
      <c r="K46" s="3">
        <v>9.3385087221629012E-2</v>
      </c>
      <c r="L46" s="3">
        <v>1.8506212055226581</v>
      </c>
      <c r="M46" s="3">
        <v>326.82304532547334</v>
      </c>
      <c r="N46" s="3">
        <v>-23.994446346750749</v>
      </c>
      <c r="O46" s="3">
        <v>49.592993610353105</v>
      </c>
    </row>
    <row r="47" spans="1:15" x14ac:dyDescent="0.25">
      <c r="A47" s="4">
        <v>12</v>
      </c>
      <c r="C47" s="3">
        <v>1.8470000000000001E-5</v>
      </c>
      <c r="D47" s="3">
        <v>7.8819999999999994E-5</v>
      </c>
      <c r="E47" s="3">
        <v>-8.1313099999999992E-3</v>
      </c>
      <c r="F47" s="3">
        <v>19140.302684990002</v>
      </c>
      <c r="G47" s="3">
        <v>0.44441088000000001</v>
      </c>
      <c r="H47" s="3">
        <v>-0.29257343000000002</v>
      </c>
    </row>
    <row r="48" spans="1:15" x14ac:dyDescent="0.25">
      <c r="A48" s="4">
        <v>13</v>
      </c>
      <c r="B48" s="3" t="s">
        <v>90</v>
      </c>
      <c r="C48" s="3">
        <v>5.2028869999999996</v>
      </c>
      <c r="D48" s="3">
        <v>4.8386239999999997E-2</v>
      </c>
      <c r="E48" s="3">
        <v>1.3043969500000001</v>
      </c>
      <c r="F48" s="3">
        <v>34.396440509999998</v>
      </c>
      <c r="G48" s="3">
        <v>14.728479829999999</v>
      </c>
      <c r="H48" s="3">
        <v>100.47390909000001</v>
      </c>
      <c r="J48" s="3">
        <v>5.2029002721794662</v>
      </c>
      <c r="K48" s="3">
        <v>4.8401394320191644E-2</v>
      </c>
      <c r="L48" s="3">
        <v>1.3046070202316238</v>
      </c>
      <c r="M48" s="3">
        <v>47.384333664061913</v>
      </c>
      <c r="N48" s="3">
        <v>14.704178182388244</v>
      </c>
      <c r="O48" s="3">
        <v>100.4505034168423</v>
      </c>
    </row>
    <row r="49" spans="1:15" x14ac:dyDescent="0.25">
      <c r="A49" s="4">
        <v>14</v>
      </c>
      <c r="C49" s="3">
        <v>-1.1607000000000001E-4</v>
      </c>
      <c r="D49" s="3">
        <v>-1.3253000000000001E-4</v>
      </c>
      <c r="E49" s="3">
        <v>-1.8371399999999999E-3</v>
      </c>
      <c r="F49" s="3">
        <v>3034.7461277500001</v>
      </c>
      <c r="G49" s="3">
        <v>0.21252668</v>
      </c>
      <c r="H49" s="3">
        <v>0.20469106000000001</v>
      </c>
    </row>
    <row r="50" spans="1:15" x14ac:dyDescent="0.25">
      <c r="A50" s="4">
        <v>15</v>
      </c>
      <c r="B50" s="3" t="s">
        <v>91</v>
      </c>
      <c r="C50" s="3">
        <v>9.5366759400000003</v>
      </c>
      <c r="D50" s="3">
        <v>5.386179E-2</v>
      </c>
      <c r="E50" s="3">
        <v>2.4859918699999999</v>
      </c>
      <c r="F50" s="3">
        <v>49.95424423</v>
      </c>
      <c r="G50" s="3">
        <v>92.598878310000003</v>
      </c>
      <c r="H50" s="3">
        <v>113.66242448</v>
      </c>
      <c r="J50" s="3">
        <v>9.5368189415304592</v>
      </c>
      <c r="K50" s="3">
        <v>5.3920096341273101E-2</v>
      </c>
      <c r="L50" s="3">
        <v>2.4857704851982234</v>
      </c>
      <c r="M50" s="3">
        <v>270.1665751725115</v>
      </c>
      <c r="N50" s="3">
        <v>92.646786242272256</v>
      </c>
      <c r="O50" s="3">
        <v>113.69543374533649</v>
      </c>
    </row>
    <row r="51" spans="1:15" x14ac:dyDescent="0.25">
      <c r="A51" s="4">
        <v>16</v>
      </c>
      <c r="C51" s="3">
        <v>-1.2505999999999999E-3</v>
      </c>
      <c r="D51" s="3">
        <v>-5.0991000000000003E-4</v>
      </c>
      <c r="E51" s="3">
        <v>1.9360899999999999E-3</v>
      </c>
      <c r="F51" s="3">
        <v>1222.4936220100001</v>
      </c>
      <c r="G51" s="3">
        <v>-0.41897215999999998</v>
      </c>
      <c r="H51" s="3">
        <v>-0.28867794000000002</v>
      </c>
    </row>
    <row r="52" spans="1:15" x14ac:dyDescent="0.25">
      <c r="A52" s="4">
        <v>17</v>
      </c>
      <c r="B52" s="3" t="s">
        <v>92</v>
      </c>
      <c r="C52" s="3">
        <v>19.189164640000001</v>
      </c>
      <c r="D52" s="3">
        <v>4.7257439999999998E-2</v>
      </c>
      <c r="E52" s="3">
        <v>0.77263782999999997</v>
      </c>
      <c r="F52" s="3">
        <v>313.23810451000003</v>
      </c>
      <c r="G52" s="3">
        <v>170.9542763</v>
      </c>
      <c r="H52" s="3">
        <v>74.016925029999996</v>
      </c>
      <c r="J52" s="3">
        <v>19.189388960072282</v>
      </c>
      <c r="K52" s="3">
        <v>4.7262467808487335E-2</v>
      </c>
      <c r="L52" s="3">
        <v>0.77291562185037732</v>
      </c>
      <c r="M52" s="3">
        <v>264.24275367316187</v>
      </c>
      <c r="N52" s="3">
        <v>170.90761695541525</v>
      </c>
      <c r="O52" s="3">
        <v>74.012076071763673</v>
      </c>
    </row>
    <row r="53" spans="1:15" x14ac:dyDescent="0.25">
      <c r="A53" s="4">
        <v>18</v>
      </c>
      <c r="C53" s="3">
        <v>-1.9617599999999999E-3</v>
      </c>
      <c r="D53" s="3">
        <v>-4.3970000000000001E-5</v>
      </c>
      <c r="E53" s="3">
        <v>-2.42939E-3</v>
      </c>
      <c r="F53" s="3">
        <v>428.48202785000001</v>
      </c>
      <c r="G53" s="3">
        <v>0.40805280999999999</v>
      </c>
      <c r="H53" s="3">
        <v>4.2405890000000002E-2</v>
      </c>
    </row>
    <row r="54" spans="1:15" x14ac:dyDescent="0.25">
      <c r="A54" s="4">
        <v>19</v>
      </c>
      <c r="B54" s="3" t="s">
        <v>93</v>
      </c>
      <c r="C54" s="3">
        <v>30.069922760000001</v>
      </c>
      <c r="D54" s="3">
        <v>8.5904799999999993E-3</v>
      </c>
      <c r="E54" s="3">
        <v>1.7700434700000001</v>
      </c>
      <c r="F54" s="3">
        <v>-55.120029690000003</v>
      </c>
      <c r="G54" s="3">
        <v>44.964762270000001</v>
      </c>
      <c r="H54" s="3">
        <v>131.78422574000001</v>
      </c>
      <c r="J54" s="3">
        <v>30.069892697204246</v>
      </c>
      <c r="K54" s="3">
        <v>8.5846426194387399E-3</v>
      </c>
      <c r="L54" s="3">
        <v>1.7700030234132806</v>
      </c>
      <c r="M54" s="3">
        <v>279.89993180216624</v>
      </c>
      <c r="N54" s="3">
        <v>45.001629203441802</v>
      </c>
      <c r="O54" s="3">
        <v>131.78480737865752</v>
      </c>
    </row>
    <row r="55" spans="1:15" x14ac:dyDescent="0.25">
      <c r="A55" s="4">
        <v>20</v>
      </c>
      <c r="C55" s="3">
        <v>2.6290999999999999E-4</v>
      </c>
      <c r="D55" s="3">
        <v>5.1050000000000001E-5</v>
      </c>
      <c r="E55" s="3">
        <v>3.5372000000000002E-4</v>
      </c>
      <c r="F55" s="3">
        <v>218.45945325</v>
      </c>
      <c r="G55" s="3">
        <v>-0.32241463999999997</v>
      </c>
      <c r="H55" s="3">
        <v>-5.0866399999999999E-3</v>
      </c>
    </row>
    <row r="57" spans="1:15" ht="15" x14ac:dyDescent="0.25">
      <c r="B57" s="74" t="s">
        <v>1210</v>
      </c>
    </row>
    <row r="58" spans="1:15" x14ac:dyDescent="0.25">
      <c r="B58" s="37" t="s">
        <v>1239</v>
      </c>
    </row>
    <row r="59" spans="1:15" x14ac:dyDescent="0.25">
      <c r="A59" s="3" t="s">
        <v>8</v>
      </c>
      <c r="C59" s="3" t="s">
        <v>1220</v>
      </c>
      <c r="D59" s="70" t="s">
        <v>1215</v>
      </c>
      <c r="E59" s="3">
        <v>625307.5</v>
      </c>
    </row>
    <row r="60" spans="1:15" x14ac:dyDescent="0.25">
      <c r="A60" s="4">
        <v>1</v>
      </c>
      <c r="C60" s="3" t="s">
        <v>1221</v>
      </c>
      <c r="D60" s="70" t="s">
        <v>1216</v>
      </c>
      <c r="E60" s="3">
        <v>2816787.5</v>
      </c>
    </row>
    <row r="61" spans="1:15" x14ac:dyDescent="0.25">
      <c r="A61" s="4">
        <v>2</v>
      </c>
      <c r="C61" s="3" t="s">
        <v>1222</v>
      </c>
      <c r="D61" s="4" t="s">
        <v>1212</v>
      </c>
      <c r="E61" s="3">
        <v>2451545</v>
      </c>
    </row>
    <row r="62" spans="1:15" x14ac:dyDescent="0.25">
      <c r="A62" s="4">
        <v>3</v>
      </c>
      <c r="C62" s="5" t="s">
        <v>29</v>
      </c>
      <c r="D62" s="5" t="s">
        <v>28</v>
      </c>
      <c r="E62" s="5" t="s">
        <v>1165</v>
      </c>
      <c r="F62" s="5" t="s">
        <v>1166</v>
      </c>
      <c r="G62" s="5" t="s">
        <v>1344</v>
      </c>
      <c r="H62" s="5" t="s">
        <v>1347</v>
      </c>
      <c r="I62" s="5"/>
    </row>
    <row r="63" spans="1:15" ht="13.5" thickBot="1" x14ac:dyDescent="0.3">
      <c r="A63" s="4">
        <v>4</v>
      </c>
      <c r="B63" s="8" t="s">
        <v>65</v>
      </c>
      <c r="C63" s="36" t="s">
        <v>1208</v>
      </c>
      <c r="D63" s="36" t="s">
        <v>1211</v>
      </c>
      <c r="E63" s="36" t="s">
        <v>1209</v>
      </c>
      <c r="F63" s="36" t="s">
        <v>1209</v>
      </c>
      <c r="G63" s="36" t="s">
        <v>1209</v>
      </c>
      <c r="H63" s="36" t="s">
        <v>1209</v>
      </c>
      <c r="I63" s="4"/>
    </row>
    <row r="64" spans="1:15" x14ac:dyDescent="0.25">
      <c r="A64" s="4">
        <v>5</v>
      </c>
      <c r="B64" s="3" t="s">
        <v>87</v>
      </c>
      <c r="C64" s="3">
        <v>0.38709842999999999</v>
      </c>
      <c r="D64" s="3">
        <v>0.20563661</v>
      </c>
      <c r="E64" s="3">
        <v>7.0055943200000002</v>
      </c>
      <c r="F64" s="3">
        <v>252.25166723999999</v>
      </c>
      <c r="G64" s="3">
        <v>77.45771895</v>
      </c>
      <c r="H64" s="3">
        <v>48.339618190000003</v>
      </c>
    </row>
    <row r="65" spans="1:8" x14ac:dyDescent="0.25">
      <c r="A65" s="4">
        <v>6</v>
      </c>
      <c r="C65" s="3">
        <v>0</v>
      </c>
      <c r="D65" s="3">
        <v>2.1229999999999998E-5</v>
      </c>
      <c r="E65" s="3">
        <v>-5.90158E-3</v>
      </c>
      <c r="F65" s="3">
        <v>149472.67486622999</v>
      </c>
      <c r="G65" s="3">
        <v>0.15940013</v>
      </c>
      <c r="H65" s="3">
        <v>-0.12214182</v>
      </c>
    </row>
    <row r="66" spans="1:8" x14ac:dyDescent="0.25">
      <c r="A66" s="4">
        <v>7</v>
      </c>
      <c r="B66" s="3" t="s">
        <v>88</v>
      </c>
      <c r="C66" s="3">
        <v>0.72332101999999998</v>
      </c>
      <c r="D66" s="3">
        <v>6.7639900000000001E-3</v>
      </c>
      <c r="E66" s="3">
        <v>3.3977754500000001</v>
      </c>
      <c r="F66" s="3">
        <v>181.97970849999999</v>
      </c>
      <c r="G66" s="3">
        <v>131.76755713</v>
      </c>
      <c r="H66" s="3">
        <v>76.672614960000004</v>
      </c>
    </row>
    <row r="67" spans="1:8" x14ac:dyDescent="0.25">
      <c r="A67" s="4">
        <v>8</v>
      </c>
      <c r="C67" s="3">
        <v>-2.6E-7</v>
      </c>
      <c r="D67" s="3">
        <v>-5.1069999999999997E-5</v>
      </c>
      <c r="E67" s="3">
        <v>4.3493999999999998E-4</v>
      </c>
      <c r="F67" s="3">
        <v>58517.8156026</v>
      </c>
      <c r="G67" s="3">
        <v>5.6796480000000003E-2</v>
      </c>
      <c r="H67" s="3">
        <v>-0.27274174000000001</v>
      </c>
    </row>
    <row r="68" spans="1:8" x14ac:dyDescent="0.25">
      <c r="A68" s="4">
        <v>9</v>
      </c>
      <c r="B68" s="3" t="s">
        <v>1207</v>
      </c>
      <c r="C68" s="3">
        <v>1.00000018</v>
      </c>
      <c r="D68" s="3">
        <v>1.6731630000000001E-2</v>
      </c>
      <c r="E68" s="3">
        <v>-5.4345999999999995E-4</v>
      </c>
      <c r="F68" s="3">
        <v>100.46691572</v>
      </c>
      <c r="G68" s="3">
        <v>102.93005884999999</v>
      </c>
      <c r="H68" s="3">
        <v>-5.1126038899999999</v>
      </c>
    </row>
    <row r="69" spans="1:8" x14ac:dyDescent="0.25">
      <c r="A69" s="4">
        <v>10</v>
      </c>
      <c r="C69" s="3">
        <v>-2.9999999999999997E-8</v>
      </c>
      <c r="D69" s="3">
        <v>-3.6609999999999997E-5</v>
      </c>
      <c r="E69" s="3">
        <v>-1.337178E-2</v>
      </c>
      <c r="F69" s="3">
        <v>35999.373063289997</v>
      </c>
      <c r="G69" s="3">
        <v>0.31795259999999997</v>
      </c>
      <c r="H69" s="3">
        <v>-0.24123855999999999</v>
      </c>
    </row>
    <row r="70" spans="1:8" x14ac:dyDescent="0.25">
      <c r="A70" s="4">
        <v>11</v>
      </c>
      <c r="B70" s="3" t="s">
        <v>89</v>
      </c>
      <c r="C70" s="3">
        <v>1.52371243</v>
      </c>
      <c r="D70" s="3">
        <v>9.3365110000000001E-2</v>
      </c>
      <c r="E70" s="3">
        <v>1.85181869</v>
      </c>
      <c r="F70" s="3">
        <v>-4.5681316399999998</v>
      </c>
      <c r="G70" s="3">
        <v>-23.917447840000001</v>
      </c>
      <c r="H70" s="3">
        <v>49.713209839999998</v>
      </c>
    </row>
    <row r="71" spans="1:8" x14ac:dyDescent="0.25">
      <c r="A71" s="4">
        <v>12</v>
      </c>
      <c r="C71" s="3">
        <v>9.7000000000000003E-7</v>
      </c>
      <c r="D71" s="3">
        <v>9.1490000000000007E-5</v>
      </c>
      <c r="E71" s="3">
        <v>-7.2475700000000001E-3</v>
      </c>
      <c r="F71" s="3">
        <v>19140.29934243</v>
      </c>
      <c r="G71" s="3">
        <v>0.45223625000000001</v>
      </c>
      <c r="H71" s="3">
        <v>-0.26852430999999999</v>
      </c>
    </row>
    <row r="72" spans="1:8" x14ac:dyDescent="0.25">
      <c r="A72" s="4">
        <v>13</v>
      </c>
      <c r="B72" s="3" t="s">
        <v>90</v>
      </c>
      <c r="C72" s="3">
        <v>5.2024801900000002</v>
      </c>
      <c r="D72" s="3">
        <v>4.85359E-2</v>
      </c>
      <c r="E72" s="3">
        <v>1.2986141600000001</v>
      </c>
      <c r="F72" s="3">
        <v>34.334791520000003</v>
      </c>
      <c r="G72" s="3">
        <v>14.27495244</v>
      </c>
      <c r="H72" s="3">
        <v>100.29282653999999</v>
      </c>
    </row>
    <row r="73" spans="1:8" x14ac:dyDescent="0.25">
      <c r="A73" s="4">
        <v>14</v>
      </c>
      <c r="C73" s="3">
        <v>-2.864E-5</v>
      </c>
      <c r="D73" s="3">
        <v>1.8026000000000001E-4</v>
      </c>
      <c r="E73" s="3">
        <v>-3.2269899999999999E-3</v>
      </c>
      <c r="F73" s="3">
        <v>3034.90371757</v>
      </c>
      <c r="G73" s="3">
        <v>0.18199196000000001</v>
      </c>
      <c r="H73" s="3">
        <v>0.13024619000000001</v>
      </c>
    </row>
    <row r="74" spans="1:8" x14ac:dyDescent="0.25">
      <c r="A74" s="4">
        <v>15</v>
      </c>
      <c r="B74" s="3" t="s">
        <v>91</v>
      </c>
      <c r="C74" s="3">
        <v>9.5414988300000001</v>
      </c>
      <c r="D74" s="3">
        <v>5.5508250000000002E-2</v>
      </c>
      <c r="E74" s="3">
        <v>2.49424102</v>
      </c>
      <c r="F74" s="3">
        <v>50.075713290000003</v>
      </c>
      <c r="G74" s="3">
        <v>92.861360629999993</v>
      </c>
      <c r="H74" s="3">
        <v>113.63998702000001</v>
      </c>
    </row>
    <row r="75" spans="1:8" x14ac:dyDescent="0.25">
      <c r="A75" s="4">
        <v>16</v>
      </c>
      <c r="C75" s="3">
        <v>-3.065E-5</v>
      </c>
      <c r="D75" s="3">
        <v>-3.2044000000000002E-4</v>
      </c>
      <c r="E75" s="3">
        <v>4.5196899999999998E-3</v>
      </c>
      <c r="F75" s="3">
        <v>1222.11494724</v>
      </c>
      <c r="G75" s="3">
        <v>0.54179478000000003</v>
      </c>
      <c r="H75" s="3">
        <v>-0.25015001999999997</v>
      </c>
    </row>
    <row r="76" spans="1:8" x14ac:dyDescent="0.25">
      <c r="A76" s="4">
        <v>17</v>
      </c>
      <c r="B76" s="3" t="s">
        <v>92</v>
      </c>
      <c r="C76" s="3">
        <v>19.187979479999999</v>
      </c>
      <c r="D76" s="3">
        <v>4.68574E-2</v>
      </c>
      <c r="E76" s="3">
        <v>0.77298127000000005</v>
      </c>
      <c r="F76" s="3">
        <v>314.20276625000002</v>
      </c>
      <c r="G76" s="3">
        <v>172.43404441000001</v>
      </c>
      <c r="H76" s="3">
        <v>73.962502150000006</v>
      </c>
    </row>
    <row r="77" spans="1:8" x14ac:dyDescent="0.25">
      <c r="A77" s="4">
        <v>18</v>
      </c>
      <c r="C77" s="3">
        <v>-2.0455000000000001E-4</v>
      </c>
      <c r="D77" s="3">
        <v>-1.5500000000000001E-5</v>
      </c>
      <c r="E77" s="3">
        <v>-1.8015500000000001E-3</v>
      </c>
      <c r="F77" s="3">
        <v>428.49512594999999</v>
      </c>
      <c r="G77" s="3">
        <v>9.2669849999999998E-2</v>
      </c>
      <c r="H77" s="3">
        <v>5.7396990000000002E-2</v>
      </c>
    </row>
    <row r="78" spans="1:8" x14ac:dyDescent="0.25">
      <c r="A78" s="4">
        <v>19</v>
      </c>
      <c r="B78" s="3" t="s">
        <v>93</v>
      </c>
      <c r="C78" s="3">
        <v>30.069527520000001</v>
      </c>
      <c r="D78" s="3">
        <v>8.9543899999999996E-3</v>
      </c>
      <c r="E78" s="3">
        <v>1.7700552000000001</v>
      </c>
      <c r="F78" s="3">
        <v>304.22289287000001</v>
      </c>
      <c r="G78" s="3">
        <v>46.681587239999999</v>
      </c>
      <c r="H78" s="3">
        <v>131.78635853</v>
      </c>
    </row>
    <row r="79" spans="1:8" x14ac:dyDescent="0.25">
      <c r="A79" s="4">
        <v>20</v>
      </c>
      <c r="C79" s="3">
        <v>6.4469999999999998E-5</v>
      </c>
      <c r="D79" s="3">
        <v>8.1799999999999996E-6</v>
      </c>
      <c r="E79" s="3">
        <v>2.24E-4</v>
      </c>
      <c r="F79" s="3">
        <v>218.46515314000001</v>
      </c>
      <c r="G79" s="3">
        <v>1.009938E-2</v>
      </c>
      <c r="H79" s="3">
        <v>-6.0630199999999997E-3</v>
      </c>
    </row>
    <row r="80" spans="1:8" x14ac:dyDescent="0.25">
      <c r="A80" s="4">
        <v>21</v>
      </c>
      <c r="B80" s="37" t="s">
        <v>1238</v>
      </c>
    </row>
    <row r="81" spans="1:15" x14ac:dyDescent="0.25">
      <c r="A81" s="4">
        <v>22</v>
      </c>
      <c r="C81" s="5" t="s">
        <v>125</v>
      </c>
      <c r="D81" s="5" t="s">
        <v>1217</v>
      </c>
      <c r="E81" s="5" t="s">
        <v>1218</v>
      </c>
      <c r="F81" s="5" t="s">
        <v>1219</v>
      </c>
    </row>
    <row r="82" spans="1:15" x14ac:dyDescent="0.25">
      <c r="A82" s="4">
        <v>23</v>
      </c>
      <c r="B82" s="3" t="s">
        <v>90</v>
      </c>
      <c r="C82" s="3">
        <v>-1.2452000000000001E-4</v>
      </c>
      <c r="D82" s="3">
        <v>6.0640600000000003E-2</v>
      </c>
      <c r="E82" s="3">
        <v>-0.35635438000000003</v>
      </c>
      <c r="F82" s="3">
        <v>38.35125</v>
      </c>
    </row>
    <row r="83" spans="1:15" x14ac:dyDescent="0.25">
      <c r="A83" s="4">
        <v>24</v>
      </c>
      <c r="B83" s="3" t="s">
        <v>91</v>
      </c>
      <c r="C83" s="3">
        <v>2.5899000000000001E-4</v>
      </c>
      <c r="D83" s="3">
        <v>-0.13434468999999999</v>
      </c>
      <c r="E83" s="3">
        <v>0.87320147000000004</v>
      </c>
      <c r="F83" s="3">
        <v>38.35125</v>
      </c>
    </row>
    <row r="84" spans="1:15" x14ac:dyDescent="0.25">
      <c r="A84" s="4">
        <v>25</v>
      </c>
      <c r="B84" s="3" t="s">
        <v>92</v>
      </c>
      <c r="C84" s="3">
        <v>5.8330999999999997E-4</v>
      </c>
      <c r="D84" s="3">
        <v>-0.97731847999999999</v>
      </c>
      <c r="E84" s="3">
        <v>0.17689245000000001</v>
      </c>
      <c r="F84" s="3">
        <v>7.6702500000000002</v>
      </c>
    </row>
    <row r="85" spans="1:15" x14ac:dyDescent="0.25">
      <c r="A85" s="4">
        <v>26</v>
      </c>
      <c r="B85" s="3" t="s">
        <v>93</v>
      </c>
      <c r="C85" s="3">
        <v>-4.1347999999999998E-4</v>
      </c>
      <c r="D85" s="3">
        <v>0.68346317999999995</v>
      </c>
      <c r="E85" s="3">
        <v>-0.10162547</v>
      </c>
      <c r="F85" s="3">
        <v>7.6702500000000002</v>
      </c>
    </row>
    <row r="87" spans="1:15" x14ac:dyDescent="0.25">
      <c r="B87" s="3" t="s">
        <v>1334</v>
      </c>
    </row>
    <row r="88" spans="1:15" x14ac:dyDescent="0.25">
      <c r="B88" s="3" t="s">
        <v>1335</v>
      </c>
    </row>
    <row r="89" spans="1:15" x14ac:dyDescent="0.25">
      <c r="B89" s="3" t="s">
        <v>1264</v>
      </c>
    </row>
    <row r="90" spans="1:15" x14ac:dyDescent="0.25">
      <c r="B90" s="37" t="s">
        <v>1237</v>
      </c>
      <c r="E90" s="4" t="s">
        <v>1242</v>
      </c>
    </row>
    <row r="91" spans="1:15" x14ac:dyDescent="0.25">
      <c r="A91" s="4" t="s">
        <v>8</v>
      </c>
      <c r="C91" s="3" t="s">
        <v>1220</v>
      </c>
      <c r="D91" s="70"/>
    </row>
    <row r="92" spans="1:15" x14ac:dyDescent="0.25">
      <c r="A92" s="4">
        <v>1</v>
      </c>
      <c r="C92" s="3" t="s">
        <v>1221</v>
      </c>
      <c r="D92" s="70"/>
    </row>
    <row r="93" spans="1:15" x14ac:dyDescent="0.25">
      <c r="A93" s="4">
        <v>2</v>
      </c>
      <c r="C93" s="3" t="s">
        <v>1222</v>
      </c>
      <c r="D93" s="4" t="s">
        <v>1212</v>
      </c>
      <c r="E93" s="3">
        <v>2451545</v>
      </c>
    </row>
    <row r="94" spans="1:15" x14ac:dyDescent="0.25">
      <c r="A94" s="4">
        <v>3</v>
      </c>
      <c r="C94" s="5" t="s">
        <v>29</v>
      </c>
      <c r="D94" s="5" t="s">
        <v>28</v>
      </c>
      <c r="E94" s="5" t="s">
        <v>1165</v>
      </c>
      <c r="F94" s="5" t="s">
        <v>1166</v>
      </c>
      <c r="G94" s="5" t="s">
        <v>1344</v>
      </c>
      <c r="H94" s="5" t="s">
        <v>1347</v>
      </c>
      <c r="I94" s="5"/>
      <c r="J94" s="5" t="s">
        <v>29</v>
      </c>
      <c r="K94" s="5" t="s">
        <v>28</v>
      </c>
      <c r="L94" s="5" t="s">
        <v>1165</v>
      </c>
      <c r="M94" s="5" t="s">
        <v>1166</v>
      </c>
      <c r="N94" s="5" t="s">
        <v>1344</v>
      </c>
      <c r="O94" s="5" t="s">
        <v>1347</v>
      </c>
    </row>
    <row r="95" spans="1:15" ht="13.5" thickBot="1" x14ac:dyDescent="0.3">
      <c r="A95" s="4">
        <v>4</v>
      </c>
      <c r="B95" s="8" t="s">
        <v>65</v>
      </c>
      <c r="C95" s="36" t="s">
        <v>1208</v>
      </c>
      <c r="D95" s="36" t="s">
        <v>1211</v>
      </c>
      <c r="E95" s="36" t="s">
        <v>1209</v>
      </c>
      <c r="F95" s="36" t="s">
        <v>1209</v>
      </c>
      <c r="G95" s="36" t="s">
        <v>1209</v>
      </c>
      <c r="H95" s="36" t="s">
        <v>1209</v>
      </c>
      <c r="I95" s="4"/>
    </row>
    <row r="96" spans="1:15" x14ac:dyDescent="0.25">
      <c r="A96" s="4">
        <v>5</v>
      </c>
      <c r="B96" s="3" t="s">
        <v>87</v>
      </c>
      <c r="C96" s="3">
        <v>0.38709831</v>
      </c>
      <c r="D96" s="3">
        <v>0.20563175</v>
      </c>
      <c r="E96" s="3">
        <v>7.0049859999999997</v>
      </c>
      <c r="F96" s="3">
        <v>252.25090599999999</v>
      </c>
      <c r="G96" s="3">
        <v>77.456119000000001</v>
      </c>
      <c r="H96" s="3">
        <v>48.330893000000003</v>
      </c>
      <c r="J96" s="3">
        <v>0.38709831</v>
      </c>
      <c r="K96" s="3">
        <v>0.20562935524523768</v>
      </c>
      <c r="L96" s="3">
        <v>7.0047720330568017</v>
      </c>
      <c r="M96" s="3">
        <v>354.36900399003679</v>
      </c>
      <c r="N96" s="3">
        <v>77.273500623487791</v>
      </c>
      <c r="O96" s="3">
        <v>48.191719234973291</v>
      </c>
    </row>
    <row r="97" spans="1:15" x14ac:dyDescent="0.25">
      <c r="A97" s="4">
        <v>6</v>
      </c>
      <c r="C97" s="3">
        <v>0</v>
      </c>
      <c r="D97" s="3">
        <v>2.0407E-5</v>
      </c>
      <c r="E97" s="3">
        <v>1.8215E-3</v>
      </c>
      <c r="F97" s="3">
        <v>149474.07224909999</v>
      </c>
      <c r="G97" s="3">
        <v>1.5564776</v>
      </c>
      <c r="H97" s="3">
        <v>1.1861883</v>
      </c>
    </row>
    <row r="98" spans="1:15" x14ac:dyDescent="0.25">
      <c r="A98" s="4">
        <v>7</v>
      </c>
      <c r="C98" s="3">
        <v>0</v>
      </c>
      <c r="D98" s="3">
        <v>-2.8299999999999999E-8</v>
      </c>
      <c r="E98" s="3">
        <v>-1.8099999999999999E-5</v>
      </c>
      <c r="F98" s="3">
        <v>3.035E-4</v>
      </c>
      <c r="G98" s="3">
        <v>2.9544E-4</v>
      </c>
      <c r="H98" s="3">
        <v>1.7542E-4</v>
      </c>
    </row>
    <row r="99" spans="1:15" x14ac:dyDescent="0.25">
      <c r="A99" s="4">
        <v>8</v>
      </c>
      <c r="C99" s="3">
        <v>0</v>
      </c>
      <c r="D99" s="3">
        <v>-1.8E-10</v>
      </c>
      <c r="E99" s="3">
        <v>5.5999999999999999E-8</v>
      </c>
      <c r="F99" s="3">
        <v>1.7999999999999999E-8</v>
      </c>
      <c r="G99" s="3">
        <v>8.9999999999999995E-9</v>
      </c>
      <c r="H99" s="3">
        <v>2.1500000000000001E-7</v>
      </c>
    </row>
    <row r="100" spans="1:15" x14ac:dyDescent="0.25">
      <c r="A100" s="4">
        <v>9</v>
      </c>
      <c r="B100" s="3" t="s">
        <v>88</v>
      </c>
      <c r="C100" s="3">
        <v>0.72332982000000001</v>
      </c>
      <c r="D100" s="3">
        <v>6.7719199999999998E-3</v>
      </c>
      <c r="E100" s="3">
        <v>3.3946619999999998</v>
      </c>
      <c r="F100" s="3">
        <v>181.97980100000001</v>
      </c>
      <c r="G100" s="3">
        <v>131.563703</v>
      </c>
      <c r="H100" s="3">
        <v>76.679919999999996</v>
      </c>
      <c r="J100" s="3">
        <v>0.72332982000000001</v>
      </c>
      <c r="K100" s="3">
        <v>6.7773830348186216E-3</v>
      </c>
      <c r="L100" s="3">
        <v>3.3945472190848189</v>
      </c>
      <c r="M100" s="3">
        <v>330.52208511995593</v>
      </c>
      <c r="N100" s="3">
        <v>131.40334920885147</v>
      </c>
      <c r="O100" s="3">
        <v>76.576885470158558</v>
      </c>
    </row>
    <row r="101" spans="1:15" x14ac:dyDescent="0.25">
      <c r="A101" s="4">
        <v>10</v>
      </c>
      <c r="C101" s="3">
        <v>0</v>
      </c>
      <c r="D101" s="3">
        <v>-4.7765000000000001E-5</v>
      </c>
      <c r="E101" s="3">
        <v>1.0036999999999999E-3</v>
      </c>
      <c r="F101" s="3">
        <v>58519.213030200001</v>
      </c>
      <c r="G101" s="3">
        <v>1.4022288000000001</v>
      </c>
      <c r="H101" s="3">
        <v>0.90112060000000005</v>
      </c>
    </row>
    <row r="102" spans="1:15" x14ac:dyDescent="0.25">
      <c r="A102" s="4">
        <v>11</v>
      </c>
      <c r="C102" s="3">
        <v>0</v>
      </c>
      <c r="D102" s="3">
        <v>9.8099999999999998E-8</v>
      </c>
      <c r="E102" s="3">
        <v>-8.8000000000000004E-7</v>
      </c>
      <c r="F102" s="3">
        <v>3.1013999999999998E-4</v>
      </c>
      <c r="G102" s="3">
        <v>-1.0761799999999999E-3</v>
      </c>
      <c r="H102" s="3">
        <v>4.0618000000000002E-4</v>
      </c>
    </row>
    <row r="103" spans="1:15" x14ac:dyDescent="0.25">
      <c r="A103" s="4">
        <v>12</v>
      </c>
      <c r="C103" s="3">
        <v>0</v>
      </c>
      <c r="D103" s="3">
        <v>4.6000000000000001E-10</v>
      </c>
      <c r="E103" s="3">
        <v>-6.9999999999999998E-9</v>
      </c>
      <c r="F103" s="3">
        <v>1.4999999999999999E-8</v>
      </c>
      <c r="G103" s="3">
        <v>-5.6779999999999997E-6</v>
      </c>
      <c r="H103" s="3">
        <v>-9.2999999999999999E-8</v>
      </c>
    </row>
    <row r="104" spans="1:15" x14ac:dyDescent="0.25">
      <c r="A104" s="4">
        <v>13</v>
      </c>
      <c r="B104" s="3" t="s">
        <v>15</v>
      </c>
      <c r="C104" s="3">
        <v>1.0000010180000001</v>
      </c>
      <c r="D104" s="3">
        <v>1.6708629999999999E-2</v>
      </c>
      <c r="E104" s="3">
        <v>0</v>
      </c>
      <c r="F104" s="3">
        <v>100.46645700000001</v>
      </c>
      <c r="G104" s="3">
        <v>102.937348</v>
      </c>
      <c r="H104" s="3">
        <v>0</v>
      </c>
      <c r="J104" s="3">
        <v>1.0000010180000001</v>
      </c>
      <c r="K104" s="3">
        <v>1.6713560481804588E-2</v>
      </c>
      <c r="L104" s="3">
        <v>0</v>
      </c>
      <c r="M104" s="3">
        <v>196.47469944837425</v>
      </c>
      <c r="N104" s="3">
        <v>102.73560003642136</v>
      </c>
      <c r="O104" s="3">
        <v>0</v>
      </c>
    </row>
    <row r="105" spans="1:15" x14ac:dyDescent="0.25">
      <c r="A105" s="4">
        <v>14</v>
      </c>
      <c r="C105" s="3">
        <v>0</v>
      </c>
      <c r="D105" s="3">
        <v>-4.2036999999999997E-5</v>
      </c>
      <c r="E105" s="3">
        <v>0</v>
      </c>
      <c r="F105" s="3">
        <v>36000.769827800003</v>
      </c>
      <c r="G105" s="3">
        <v>1.7195366000000001</v>
      </c>
      <c r="H105" s="3">
        <v>0</v>
      </c>
    </row>
    <row r="106" spans="1:15" x14ac:dyDescent="0.25">
      <c r="A106" s="4">
        <v>15</v>
      </c>
      <c r="C106" s="3">
        <v>0</v>
      </c>
      <c r="D106" s="3">
        <v>-1.2669999999999999E-7</v>
      </c>
      <c r="E106" s="3">
        <v>0</v>
      </c>
      <c r="F106" s="3">
        <v>3.0321999999999999E-4</v>
      </c>
      <c r="G106" s="3">
        <v>4.5688E-4</v>
      </c>
      <c r="H106" s="3">
        <v>0</v>
      </c>
    </row>
    <row r="107" spans="1:15" x14ac:dyDescent="0.25">
      <c r="A107" s="4">
        <v>16</v>
      </c>
      <c r="C107" s="3">
        <v>0</v>
      </c>
      <c r="D107" s="3">
        <v>1.4000000000000001E-10</v>
      </c>
      <c r="E107" s="3">
        <v>0</v>
      </c>
      <c r="F107" s="3">
        <v>2E-8</v>
      </c>
      <c r="G107" s="3">
        <v>-1.7999999999999999E-8</v>
      </c>
      <c r="H107" s="3">
        <v>0</v>
      </c>
    </row>
    <row r="108" spans="1:15" x14ac:dyDescent="0.25">
      <c r="A108" s="4">
        <v>17</v>
      </c>
      <c r="B108" s="3" t="s">
        <v>89</v>
      </c>
      <c r="C108" s="3">
        <v>1.5236793420000001</v>
      </c>
      <c r="D108" s="3">
        <v>9.3400650000000002E-2</v>
      </c>
      <c r="E108" s="3">
        <v>1.849726</v>
      </c>
      <c r="F108" s="3">
        <v>355.43299999999999</v>
      </c>
      <c r="G108" s="3">
        <v>336.06023399999998</v>
      </c>
      <c r="H108" s="3">
        <v>49.558093</v>
      </c>
      <c r="J108" s="3">
        <v>1.5236793420000001</v>
      </c>
      <c r="K108" s="3">
        <v>9.3390032349224786E-2</v>
      </c>
      <c r="L108" s="3">
        <v>1.849796703092393</v>
      </c>
      <c r="M108" s="3">
        <v>269.5263615903537</v>
      </c>
      <c r="N108" s="3">
        <v>335.84422496001451</v>
      </c>
      <c r="O108" s="3">
        <v>49.467502738965614</v>
      </c>
    </row>
    <row r="109" spans="1:15" x14ac:dyDescent="0.25">
      <c r="A109" s="4">
        <v>18</v>
      </c>
      <c r="C109" s="3">
        <v>0</v>
      </c>
      <c r="D109" s="3">
        <v>9.0483999999999996E-5</v>
      </c>
      <c r="E109" s="3">
        <v>-6.0110000000000003E-4</v>
      </c>
      <c r="F109" s="3">
        <v>19141.696447099999</v>
      </c>
      <c r="G109" s="3">
        <v>1.8410449</v>
      </c>
      <c r="H109" s="3">
        <v>0.77209589999999995</v>
      </c>
    </row>
    <row r="110" spans="1:15" x14ac:dyDescent="0.25">
      <c r="A110" s="4">
        <v>19</v>
      </c>
      <c r="C110" s="3">
        <v>0</v>
      </c>
      <c r="D110" s="3">
        <v>-8.0599999999999994E-8</v>
      </c>
      <c r="E110" s="3">
        <v>1.276E-5</v>
      </c>
      <c r="F110" s="3">
        <v>3.1052E-4</v>
      </c>
      <c r="G110" s="3">
        <v>1.3477000000000001E-4</v>
      </c>
      <c r="H110" s="3">
        <v>1.5569999999999998E-5</v>
      </c>
    </row>
    <row r="111" spans="1:15" x14ac:dyDescent="0.25">
      <c r="A111" s="4">
        <v>20</v>
      </c>
      <c r="C111" s="3">
        <v>0</v>
      </c>
      <c r="D111" s="3">
        <v>-2.5000000000000002E-10</v>
      </c>
      <c r="E111" s="3">
        <v>-6.9999999999999998E-9</v>
      </c>
      <c r="F111" s="3">
        <v>1.6000000000000001E-8</v>
      </c>
      <c r="G111" s="3">
        <v>5.3600000000000004E-7</v>
      </c>
      <c r="H111" s="3">
        <v>2.2670000000000001E-6</v>
      </c>
    </row>
    <row r="112" spans="1:15" x14ac:dyDescent="0.25">
      <c r="A112" s="4">
        <v>21</v>
      </c>
      <c r="B112" s="3" t="s">
        <v>90</v>
      </c>
      <c r="C112" s="3">
        <v>5.2026032090000003</v>
      </c>
      <c r="D112" s="3">
        <v>4.8497930000000002E-2</v>
      </c>
      <c r="E112" s="3">
        <v>1.303267</v>
      </c>
      <c r="F112" s="3">
        <v>34.351519000000003</v>
      </c>
      <c r="G112" s="3">
        <v>14.331206999999999</v>
      </c>
      <c r="H112" s="3">
        <v>100.46440699999999</v>
      </c>
      <c r="J112" s="3">
        <v>5.2026031865546578</v>
      </c>
      <c r="K112" s="3">
        <v>4.8478772256343609E-2</v>
      </c>
      <c r="L112" s="3">
        <v>1.3039119717730459</v>
      </c>
      <c r="M112" s="3">
        <v>38.100309441400974</v>
      </c>
      <c r="N112" s="3">
        <v>14.142009744142893</v>
      </c>
      <c r="O112" s="3">
        <v>100.34462066298317</v>
      </c>
    </row>
    <row r="113" spans="1:15" x14ac:dyDescent="0.25">
      <c r="A113" s="4">
        <v>22</v>
      </c>
      <c r="C113" s="3">
        <v>1.913E-7</v>
      </c>
      <c r="D113" s="3">
        <v>1.63225E-4</v>
      </c>
      <c r="E113" s="3">
        <v>-5.4964999999999996E-3</v>
      </c>
      <c r="F113" s="3">
        <v>3036.3027748</v>
      </c>
      <c r="G113" s="3">
        <v>1.6126351999999999</v>
      </c>
      <c r="H113" s="3">
        <v>1.0209774</v>
      </c>
    </row>
    <row r="114" spans="1:15" x14ac:dyDescent="0.25">
      <c r="A114" s="4">
        <v>23</v>
      </c>
      <c r="C114" s="3">
        <v>0</v>
      </c>
      <c r="D114" s="3">
        <v>-4.714E-7</v>
      </c>
      <c r="E114" s="3">
        <v>4.6600000000000003E-6</v>
      </c>
      <c r="F114" s="3">
        <v>2.2330000000000001E-4</v>
      </c>
      <c r="G114" s="3">
        <v>1.03042E-3</v>
      </c>
      <c r="H114" s="3">
        <v>4.0315000000000001E-4</v>
      </c>
    </row>
    <row r="115" spans="1:15" x14ac:dyDescent="0.25">
      <c r="A115" s="4">
        <v>24</v>
      </c>
      <c r="C115" s="3">
        <v>0</v>
      </c>
      <c r="D115" s="3" t="s">
        <v>1241</v>
      </c>
      <c r="E115" s="3">
        <v>-2.0000000000000001E-9</v>
      </c>
      <c r="F115" s="3">
        <v>3.7E-8</v>
      </c>
      <c r="G115" s="3">
        <v>-4.464E-6</v>
      </c>
      <c r="H115" s="3">
        <v>4.0400000000000002E-7</v>
      </c>
    </row>
    <row r="116" spans="1:15" x14ac:dyDescent="0.25">
      <c r="A116" s="4">
        <v>25</v>
      </c>
      <c r="B116" s="3" t="s">
        <v>91</v>
      </c>
      <c r="C116" s="3">
        <v>9.5549091920000002</v>
      </c>
      <c r="D116" s="3">
        <v>5.5548140000000003E-2</v>
      </c>
      <c r="E116" s="3">
        <v>2.4888789999999998</v>
      </c>
      <c r="F116" s="3">
        <v>50.077444</v>
      </c>
      <c r="G116" s="3">
        <v>93.057237000000001</v>
      </c>
      <c r="H116" s="3">
        <v>113.665503</v>
      </c>
      <c r="J116" s="3">
        <v>9.5549094430252097</v>
      </c>
      <c r="K116" s="3">
        <v>5.5588802729357678E-2</v>
      </c>
      <c r="L116" s="3">
        <v>2.4893171613176612</v>
      </c>
      <c r="M116" s="3">
        <v>266.5221688876224</v>
      </c>
      <c r="N116" s="3">
        <v>92.826839239156172</v>
      </c>
      <c r="O116" s="3">
        <v>113.56259207009697</v>
      </c>
    </row>
    <row r="117" spans="1:15" x14ac:dyDescent="0.25">
      <c r="A117" s="4">
        <v>26</v>
      </c>
      <c r="C117" s="3">
        <v>-2.1390000000000002E-6</v>
      </c>
      <c r="D117" s="3">
        <v>-3.4664100000000002E-4</v>
      </c>
      <c r="E117" s="3">
        <v>-3.7361999999999999E-3</v>
      </c>
      <c r="F117" s="3">
        <v>1223.5110686</v>
      </c>
      <c r="G117" s="3">
        <v>1.9637613</v>
      </c>
      <c r="H117" s="3">
        <v>0.87708799999999998</v>
      </c>
    </row>
    <row r="118" spans="1:15" x14ac:dyDescent="0.25">
      <c r="A118" s="4">
        <v>27</v>
      </c>
      <c r="C118" s="3">
        <v>4.0000000000000002E-9</v>
      </c>
      <c r="D118" s="3">
        <v>-6.4359999999999997E-7</v>
      </c>
      <c r="E118" s="3">
        <v>-1.519E-5</v>
      </c>
      <c r="F118" s="3">
        <v>5.1908E-4</v>
      </c>
      <c r="G118" s="3">
        <v>8.3752999999999996E-4</v>
      </c>
      <c r="H118" s="3">
        <v>-1.2176E-4</v>
      </c>
    </row>
    <row r="119" spans="1:15" x14ac:dyDescent="0.25">
      <c r="A119" s="4">
        <v>28</v>
      </c>
      <c r="C119" s="3">
        <v>0</v>
      </c>
      <c r="D119" s="3">
        <v>3.3999999999999998E-9</v>
      </c>
      <c r="E119" s="3">
        <v>8.6999999999999998E-8</v>
      </c>
      <c r="F119" s="3">
        <v>-2.9999999999999997E-8</v>
      </c>
      <c r="G119" s="3">
        <v>4.9280000000000001E-6</v>
      </c>
      <c r="H119" s="3">
        <v>-2.249E-6</v>
      </c>
    </row>
    <row r="120" spans="1:15" x14ac:dyDescent="0.25">
      <c r="A120" s="4">
        <v>29</v>
      </c>
      <c r="B120" s="3" t="s">
        <v>92</v>
      </c>
      <c r="C120" s="3">
        <v>19.218446062000002</v>
      </c>
      <c r="D120" s="3">
        <v>4.6381220000000001E-2</v>
      </c>
      <c r="E120" s="3">
        <v>0.77319700000000002</v>
      </c>
      <c r="F120" s="3">
        <v>314.05500499999999</v>
      </c>
      <c r="G120" s="3">
        <v>173.005291</v>
      </c>
      <c r="H120" s="3">
        <v>74.005956999999995</v>
      </c>
      <c r="J120" s="3">
        <v>19.218446066378188</v>
      </c>
      <c r="K120" s="3">
        <v>4.6384423389729222E-2</v>
      </c>
      <c r="L120" s="3">
        <v>0.77310665544036949</v>
      </c>
      <c r="M120" s="3">
        <v>263.61880350483244</v>
      </c>
      <c r="N120" s="3">
        <v>172.83089621296673</v>
      </c>
      <c r="O120" s="3">
        <v>73.94483117481947</v>
      </c>
    </row>
    <row r="121" spans="1:15" x14ac:dyDescent="0.25">
      <c r="A121" s="4">
        <v>30</v>
      </c>
      <c r="C121" s="3">
        <v>-3.7200000000000002E-8</v>
      </c>
      <c r="D121" s="3">
        <v>-2.7293000000000001E-5</v>
      </c>
      <c r="E121" s="3">
        <v>7.7439999999999996E-4</v>
      </c>
      <c r="F121" s="3">
        <v>429.86405610000003</v>
      </c>
      <c r="G121" s="3">
        <v>1.4863789999999999</v>
      </c>
      <c r="H121" s="3">
        <v>0.52112780000000003</v>
      </c>
    </row>
    <row r="122" spans="1:15" x14ac:dyDescent="0.25">
      <c r="A122" s="4">
        <v>31</v>
      </c>
      <c r="C122" s="3">
        <v>9.7999999999999992E-10</v>
      </c>
      <c r="D122" s="3">
        <v>7.8899999999999998E-8</v>
      </c>
      <c r="E122" s="3">
        <v>3.7490000000000002E-5</v>
      </c>
      <c r="F122" s="3">
        <v>3.0390000000000001E-4</v>
      </c>
      <c r="G122" s="3">
        <v>2.1405999999999999E-4</v>
      </c>
      <c r="H122" s="3">
        <v>1.3394699999999999E-3</v>
      </c>
    </row>
    <row r="123" spans="1:15" x14ac:dyDescent="0.25">
      <c r="A123" s="4">
        <v>32</v>
      </c>
      <c r="C123" s="3">
        <v>0</v>
      </c>
      <c r="D123" s="3">
        <v>2.4E-10</v>
      </c>
      <c r="E123" s="3">
        <v>-9.2000000000000003E-8</v>
      </c>
      <c r="F123" s="3">
        <v>2.6000000000000001E-8</v>
      </c>
      <c r="G123" s="3">
        <v>4.34E-7</v>
      </c>
      <c r="H123" s="3">
        <v>1.8484000000000001E-5</v>
      </c>
    </row>
    <row r="124" spans="1:15" x14ac:dyDescent="0.25">
      <c r="A124" s="4">
        <v>33</v>
      </c>
      <c r="B124" s="3" t="s">
        <v>93</v>
      </c>
      <c r="C124" s="3">
        <v>30.110386868999999</v>
      </c>
      <c r="D124" s="3">
        <v>9.4557500000000006E-3</v>
      </c>
      <c r="E124" s="3">
        <v>1.7699530000000001</v>
      </c>
      <c r="F124" s="3">
        <v>304.34866499999998</v>
      </c>
      <c r="G124" s="3">
        <v>48.120275999999997</v>
      </c>
      <c r="H124" s="3">
        <v>131.78405699999999</v>
      </c>
      <c r="J124" s="3">
        <v>30.110386888521578</v>
      </c>
      <c r="K124" s="3">
        <v>9.4550421445982157E-3</v>
      </c>
      <c r="L124" s="3">
        <v>1.7710450391386636</v>
      </c>
      <c r="M124" s="3">
        <v>278.54962964622331</v>
      </c>
      <c r="N124" s="3">
        <v>47.952933167157113</v>
      </c>
      <c r="O124" s="3">
        <v>131.6547383337728</v>
      </c>
    </row>
    <row r="125" spans="1:15" x14ac:dyDescent="0.25">
      <c r="A125" s="4">
        <v>34</v>
      </c>
      <c r="C125" s="3">
        <v>-1.663E-7</v>
      </c>
      <c r="D125" s="3">
        <v>6.0329999999999997E-6</v>
      </c>
      <c r="E125" s="3">
        <v>-9.3082000000000008E-3</v>
      </c>
      <c r="F125" s="3">
        <v>219.88330920000001</v>
      </c>
      <c r="G125" s="3">
        <v>1.4262957000000001</v>
      </c>
      <c r="H125" s="3">
        <v>1.1022038999999999</v>
      </c>
    </row>
    <row r="126" spans="1:15" x14ac:dyDescent="0.25">
      <c r="A126" s="4">
        <v>35</v>
      </c>
      <c r="C126" s="3">
        <v>6.9E-10</v>
      </c>
      <c r="D126" s="3">
        <v>0</v>
      </c>
      <c r="E126" s="3">
        <v>-7.08E-6</v>
      </c>
      <c r="F126" s="3">
        <v>3.0882000000000001E-4</v>
      </c>
      <c r="G126" s="3">
        <v>3.8434E-4</v>
      </c>
      <c r="H126" s="3">
        <v>2.5952000000000001E-4</v>
      </c>
    </row>
    <row r="127" spans="1:15" x14ac:dyDescent="0.25">
      <c r="A127" s="4">
        <v>36</v>
      </c>
      <c r="C127" s="3">
        <v>0</v>
      </c>
      <c r="D127" s="3">
        <v>-5.0000000000000002E-11</v>
      </c>
      <c r="E127" s="3">
        <v>2.7E-8</v>
      </c>
      <c r="F127" s="3">
        <v>1.7999999999999999E-8</v>
      </c>
      <c r="G127" s="3">
        <v>2E-8</v>
      </c>
      <c r="H127" s="3">
        <v>-6.37E-7</v>
      </c>
    </row>
    <row r="128" spans="1:15" x14ac:dyDescent="0.25">
      <c r="A128" s="4">
        <v>37</v>
      </c>
      <c r="B128" s="3" t="s">
        <v>94</v>
      </c>
      <c r="C128" s="3">
        <v>39.481686770000003</v>
      </c>
      <c r="D128" s="3">
        <v>0.24880766000000001</v>
      </c>
      <c r="E128" s="3">
        <v>17.141749999999998</v>
      </c>
      <c r="F128" s="3">
        <v>238.92881</v>
      </c>
      <c r="G128" s="3">
        <v>224.06675999999999</v>
      </c>
      <c r="H128" s="3">
        <v>110.30347</v>
      </c>
      <c r="J128" s="3">
        <v>39.481686795067034</v>
      </c>
      <c r="K128" s="3">
        <v>0.24880765789293807</v>
      </c>
      <c r="L128" s="3">
        <v>17.141389208418911</v>
      </c>
      <c r="M128" s="3">
        <v>221.89149822381958</v>
      </c>
      <c r="N128" s="3">
        <v>224.07107026979261</v>
      </c>
      <c r="O128" s="3">
        <v>110.30468665309162</v>
      </c>
    </row>
    <row r="129" spans="1:15" x14ac:dyDescent="0.25">
      <c r="A129" s="4">
        <v>38</v>
      </c>
      <c r="C129" s="3">
        <f t="shared" ref="C129:H129" si="6">J129/3600</f>
        <v>-2.1364444444444443E-7</v>
      </c>
      <c r="D129" s="3">
        <f t="shared" si="6"/>
        <v>1.7958333333333334E-8</v>
      </c>
      <c r="E129" s="3">
        <f t="shared" si="6"/>
        <v>3.075E-3</v>
      </c>
      <c r="F129" s="3">
        <f t="shared" si="6"/>
        <v>145.20775</v>
      </c>
      <c r="G129" s="3">
        <f t="shared" si="6"/>
        <v>-3.6736111111111108E-2</v>
      </c>
      <c r="H129" s="3">
        <f t="shared" si="6"/>
        <v>-1.0369444444444443E-2</v>
      </c>
      <c r="J129" s="54">
        <v>-7.6911999999999998E-4</v>
      </c>
      <c r="K129" s="54">
        <v>6.4649999999999999E-5</v>
      </c>
      <c r="L129" s="54">
        <v>11.07</v>
      </c>
      <c r="M129" s="54">
        <v>522747.9</v>
      </c>
      <c r="N129" s="54">
        <v>-132.25</v>
      </c>
      <c r="O129" s="54">
        <v>-37.33</v>
      </c>
    </row>
    <row r="130" spans="1:15" x14ac:dyDescent="0.25">
      <c r="A130" s="4">
        <v>39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J130" s="54" t="s">
        <v>1320</v>
      </c>
      <c r="K130" s="54"/>
      <c r="L130" s="54"/>
      <c r="M130" s="54"/>
      <c r="N130" s="54"/>
      <c r="O130" s="54"/>
    </row>
    <row r="131" spans="1:15" x14ac:dyDescent="0.25">
      <c r="A131" s="4">
        <v>40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</row>
    <row r="133" spans="1:15" x14ac:dyDescent="0.25">
      <c r="B133" s="3" t="s">
        <v>1346</v>
      </c>
    </row>
    <row r="134" spans="1:15" x14ac:dyDescent="0.25">
      <c r="B134" s="3" t="s">
        <v>1369</v>
      </c>
    </row>
    <row r="135" spans="1:15" x14ac:dyDescent="0.25">
      <c r="B135" s="37" t="s">
        <v>1343</v>
      </c>
      <c r="E135" s="4" t="s">
        <v>1242</v>
      </c>
    </row>
    <row r="136" spans="1:15" x14ac:dyDescent="0.25">
      <c r="A136" s="4" t="s">
        <v>8</v>
      </c>
      <c r="C136" s="3" t="s">
        <v>1220</v>
      </c>
      <c r="D136" s="70" t="s">
        <v>1213</v>
      </c>
      <c r="E136" s="3">
        <v>2378496.5</v>
      </c>
    </row>
    <row r="137" spans="1:15" x14ac:dyDescent="0.25">
      <c r="A137" s="4">
        <v>1</v>
      </c>
      <c r="C137" s="3" t="s">
        <v>1221</v>
      </c>
      <c r="D137" s="70" t="s">
        <v>1214</v>
      </c>
      <c r="E137" s="3">
        <v>2469807.5</v>
      </c>
    </row>
    <row r="138" spans="1:15" x14ac:dyDescent="0.25">
      <c r="A138" s="4">
        <v>2</v>
      </c>
      <c r="C138" s="3" t="s">
        <v>1222</v>
      </c>
      <c r="D138" s="4" t="s">
        <v>1212</v>
      </c>
      <c r="E138" s="3">
        <v>2451545</v>
      </c>
    </row>
    <row r="139" spans="1:15" x14ac:dyDescent="0.25">
      <c r="A139" s="4">
        <v>3</v>
      </c>
      <c r="C139" s="5" t="s">
        <v>29</v>
      </c>
      <c r="D139" s="5" t="s">
        <v>28</v>
      </c>
      <c r="E139" s="5" t="s">
        <v>1165</v>
      </c>
      <c r="F139" s="5" t="s">
        <v>1166</v>
      </c>
      <c r="G139" s="5" t="s">
        <v>1344</v>
      </c>
      <c r="H139" s="5" t="s">
        <v>1345</v>
      </c>
      <c r="J139" s="5" t="s">
        <v>29</v>
      </c>
      <c r="K139" s="5" t="s">
        <v>28</v>
      </c>
      <c r="L139" s="5" t="s">
        <v>1165</v>
      </c>
      <c r="M139" s="5" t="s">
        <v>1166</v>
      </c>
      <c r="N139" s="5" t="s">
        <v>1344</v>
      </c>
      <c r="O139" s="5" t="s">
        <v>1347</v>
      </c>
    </row>
    <row r="140" spans="1:15" ht="13.5" thickBot="1" x14ac:dyDescent="0.3">
      <c r="A140" s="4">
        <v>4</v>
      </c>
      <c r="B140" s="8" t="s">
        <v>65</v>
      </c>
      <c r="C140" s="36" t="s">
        <v>1208</v>
      </c>
      <c r="D140" s="36" t="s">
        <v>1211</v>
      </c>
      <c r="E140" s="36" t="s">
        <v>1209</v>
      </c>
      <c r="F140" s="36" t="s">
        <v>1209</v>
      </c>
      <c r="G140" s="36" t="s">
        <v>1209</v>
      </c>
      <c r="H140" s="36" t="s">
        <v>1209</v>
      </c>
    </row>
    <row r="141" spans="1:15" x14ac:dyDescent="0.25">
      <c r="A141" s="4">
        <v>5</v>
      </c>
      <c r="B141" s="3" t="s">
        <v>87</v>
      </c>
      <c r="C141" s="3">
        <v>0.38709927</v>
      </c>
      <c r="D141" s="3">
        <v>0.20563592999999999</v>
      </c>
      <c r="E141" s="3">
        <v>7.0049790200000004</v>
      </c>
      <c r="F141" s="3">
        <v>252.25032350000001</v>
      </c>
      <c r="G141" s="3">
        <v>77.457796279999997</v>
      </c>
      <c r="H141" s="3">
        <v>48.330765929999998</v>
      </c>
      <c r="J141" s="3">
        <v>0.387099307</v>
      </c>
      <c r="K141" s="3">
        <v>0.20563783599999999</v>
      </c>
      <c r="L141" s="3">
        <v>7.004384271000009</v>
      </c>
      <c r="M141" s="3">
        <v>79.517734675019923</v>
      </c>
      <c r="N141" s="3">
        <v>77.4738439690001</v>
      </c>
      <c r="O141" s="3">
        <v>48.318231849000057</v>
      </c>
    </row>
    <row r="142" spans="1:15" x14ac:dyDescent="0.25">
      <c r="A142" s="4">
        <v>6</v>
      </c>
      <c r="C142" s="3">
        <v>3.7E-7</v>
      </c>
      <c r="D142" s="3">
        <v>1.906E-5</v>
      </c>
      <c r="E142" s="3">
        <v>-5.9474899999999997E-3</v>
      </c>
      <c r="F142" s="3">
        <v>149472.67411175001</v>
      </c>
      <c r="G142" s="3">
        <v>0.16047689000000001</v>
      </c>
      <c r="H142" s="3">
        <v>-0.12534081</v>
      </c>
    </row>
    <row r="143" spans="1:15" x14ac:dyDescent="0.25">
      <c r="A143" s="4">
        <v>7</v>
      </c>
      <c r="B143" s="3" t="s">
        <v>88</v>
      </c>
      <c r="C143" s="3">
        <v>0.72333566000000005</v>
      </c>
      <c r="D143" s="3">
        <v>6.77672E-3</v>
      </c>
      <c r="E143" s="3">
        <v>3.3946760500000002</v>
      </c>
      <c r="F143" s="3">
        <v>181.97909949999999</v>
      </c>
      <c r="G143" s="3">
        <v>131.60246717999999</v>
      </c>
      <c r="H143" s="3">
        <v>76.679842550000004</v>
      </c>
      <c r="J143" s="3">
        <v>0.72333605000000001</v>
      </c>
      <c r="K143" s="3">
        <v>6.7726130000000002E-3</v>
      </c>
      <c r="L143" s="3">
        <v>3.394597160000004</v>
      </c>
      <c r="M143" s="3">
        <v>273.76063822900812</v>
      </c>
      <c r="N143" s="3">
        <v>131.60273550900015</v>
      </c>
      <c r="O143" s="3">
        <v>76.652073132000083</v>
      </c>
    </row>
    <row r="144" spans="1:15" x14ac:dyDescent="0.25">
      <c r="A144" s="4">
        <v>8</v>
      </c>
      <c r="C144" s="3">
        <v>3.8999999999999999E-6</v>
      </c>
      <c r="D144" s="3">
        <v>-4.1069999999999998E-5</v>
      </c>
      <c r="E144" s="3">
        <v>-7.8890000000000004E-4</v>
      </c>
      <c r="F144" s="3">
        <v>58517.81538729</v>
      </c>
      <c r="G144" s="3">
        <v>2.6832900000000001E-3</v>
      </c>
      <c r="H144" s="3">
        <v>-0.27769418000000001</v>
      </c>
    </row>
    <row r="145" spans="1:15" x14ac:dyDescent="0.25">
      <c r="A145" s="4">
        <v>9</v>
      </c>
      <c r="B145" s="3" t="s">
        <v>15</v>
      </c>
      <c r="C145" s="3">
        <v>1.0000026099999999</v>
      </c>
      <c r="D145" s="3">
        <v>1.6711230000000001E-2</v>
      </c>
      <c r="E145" s="3">
        <v>-1.5310000000000001E-5</v>
      </c>
      <c r="F145" s="3">
        <v>100.46457166</v>
      </c>
      <c r="G145" s="3">
        <v>102.93768193</v>
      </c>
      <c r="H145" s="3">
        <v>0</v>
      </c>
      <c r="J145" s="3">
        <v>1.000003172</v>
      </c>
      <c r="K145" s="3">
        <v>1.6706838000000002E-2</v>
      </c>
      <c r="L145" s="3">
        <v>359.99869002200001</v>
      </c>
      <c r="M145" s="3">
        <v>100.40181664100392</v>
      </c>
      <c r="N145" s="3">
        <v>102.97000929400012</v>
      </c>
      <c r="O145" s="3">
        <v>0</v>
      </c>
    </row>
    <row r="146" spans="1:15" x14ac:dyDescent="0.25">
      <c r="A146" s="4">
        <v>10</v>
      </c>
      <c r="C146" s="3">
        <v>5.6200000000000004E-6</v>
      </c>
      <c r="D146" s="3">
        <v>-4.392E-5</v>
      </c>
      <c r="E146" s="3">
        <v>-1.294668E-2</v>
      </c>
      <c r="F146" s="3">
        <v>35999.372449809998</v>
      </c>
      <c r="G146" s="3">
        <v>0.32327363999999997</v>
      </c>
      <c r="H146" s="3">
        <v>0</v>
      </c>
    </row>
    <row r="147" spans="1:15" x14ac:dyDescent="0.25">
      <c r="A147" s="4">
        <v>11</v>
      </c>
      <c r="B147" s="3" t="s">
        <v>89</v>
      </c>
      <c r="C147" s="3">
        <v>1.5237103400000001</v>
      </c>
      <c r="D147" s="3">
        <v>9.3394099999999994E-2</v>
      </c>
      <c r="E147" s="3">
        <v>1.8496914200000001</v>
      </c>
      <c r="F147" s="3">
        <v>-4.5534320499999996</v>
      </c>
      <c r="G147" s="3">
        <v>-23.94362959</v>
      </c>
      <c r="H147" s="3">
        <v>49.559538910000001</v>
      </c>
      <c r="J147" s="3">
        <v>1.5237288100000002</v>
      </c>
      <c r="K147" s="3">
        <v>9.3401981999999995E-2</v>
      </c>
      <c r="L147" s="3">
        <v>1.8488782890000024</v>
      </c>
      <c r="M147" s="3">
        <v>109.47683644900249</v>
      </c>
      <c r="N147" s="3">
        <v>336.10081149799998</v>
      </c>
      <c r="O147" s="3">
        <v>49.53028156700006</v>
      </c>
    </row>
    <row r="148" spans="1:15" x14ac:dyDescent="0.25">
      <c r="A148" s="4">
        <v>12</v>
      </c>
      <c r="C148" s="3">
        <v>1.8469999999999999E-4</v>
      </c>
      <c r="D148" s="3">
        <v>7.8819999999999994E-5</v>
      </c>
      <c r="E148" s="3">
        <v>-8.1313099999999992E-3</v>
      </c>
      <c r="F148" s="3">
        <v>19140.302684990002</v>
      </c>
      <c r="G148" s="3">
        <v>0.44441088000000001</v>
      </c>
      <c r="H148" s="3">
        <v>-0.29257343000000002</v>
      </c>
    </row>
    <row r="149" spans="1:15" x14ac:dyDescent="0.25">
      <c r="A149" s="4">
        <v>13</v>
      </c>
      <c r="B149" s="3" t="s">
        <v>90</v>
      </c>
      <c r="C149" s="3">
        <v>5.2028869999999996</v>
      </c>
      <c r="D149" s="3">
        <v>4.8386239999999997E-2</v>
      </c>
      <c r="E149" s="3">
        <v>1.3043969500000001</v>
      </c>
      <c r="F149" s="3">
        <v>34.396445010000001</v>
      </c>
      <c r="G149" s="3">
        <v>14.728479829999999</v>
      </c>
      <c r="H149" s="3">
        <v>100.47390909000001</v>
      </c>
      <c r="J149" s="3">
        <v>5.2028753929999993</v>
      </c>
      <c r="K149" s="3">
        <v>4.8372986999999999E-2</v>
      </c>
      <c r="L149" s="3">
        <v>1.3042132360000016</v>
      </c>
      <c r="M149" s="3">
        <v>337.8710577850004</v>
      </c>
      <c r="N149" s="3">
        <v>14.749732498000018</v>
      </c>
      <c r="O149" s="3">
        <v>100.49437819600011</v>
      </c>
    </row>
    <row r="150" spans="1:15" x14ac:dyDescent="0.25">
      <c r="A150" s="4">
        <v>14</v>
      </c>
      <c r="C150" s="3">
        <v>-1.1607000000000001E-4</v>
      </c>
      <c r="D150" s="3">
        <v>-1.3253000000000001E-4</v>
      </c>
      <c r="E150" s="3">
        <v>-1.8371399999999999E-3</v>
      </c>
      <c r="F150" s="3">
        <v>3034.7461277500001</v>
      </c>
      <c r="G150" s="3">
        <v>0.21252668</v>
      </c>
      <c r="H150" s="3">
        <v>0.20469106000000001</v>
      </c>
    </row>
    <row r="151" spans="1:15" x14ac:dyDescent="0.25">
      <c r="A151" s="4">
        <v>15</v>
      </c>
      <c r="B151" s="3" t="s">
        <v>91</v>
      </c>
      <c r="C151" s="3">
        <v>9.5366759400000003</v>
      </c>
      <c r="D151" s="3">
        <v>5.386179E-2</v>
      </c>
      <c r="E151" s="3">
        <v>2.4859918699999999</v>
      </c>
      <c r="F151" s="3">
        <v>49.95424423</v>
      </c>
      <c r="G151" s="3">
        <v>92.598878310000003</v>
      </c>
      <c r="H151" s="3">
        <v>113.66242448</v>
      </c>
      <c r="J151" s="3">
        <v>9.5365508800000001</v>
      </c>
      <c r="K151" s="3">
        <v>5.3810798999999999E-2</v>
      </c>
      <c r="L151" s="3">
        <v>2.4861854790000031</v>
      </c>
      <c r="M151" s="3">
        <v>172.20360643100022</v>
      </c>
      <c r="N151" s="3">
        <v>92.556981094000122</v>
      </c>
      <c r="O151" s="3">
        <v>113.63355668600013</v>
      </c>
    </row>
    <row r="152" spans="1:15" x14ac:dyDescent="0.25">
      <c r="A152" s="4">
        <v>16</v>
      </c>
      <c r="C152" s="3">
        <v>-1.2505999999999999E-3</v>
      </c>
      <c r="D152" s="3">
        <v>-5.0991000000000003E-4</v>
      </c>
      <c r="E152" s="3">
        <v>1.9360899999999999E-3</v>
      </c>
      <c r="F152" s="3">
        <v>1222.4936220100001</v>
      </c>
      <c r="G152" s="3">
        <v>-0.41897215999999998</v>
      </c>
      <c r="H152" s="3">
        <v>-0.28867794000000002</v>
      </c>
    </row>
    <row r="153" spans="1:15" x14ac:dyDescent="0.25">
      <c r="A153" s="4">
        <v>17</v>
      </c>
      <c r="B153" s="3" t="s">
        <v>92</v>
      </c>
      <c r="C153" s="3">
        <v>19.189164640000001</v>
      </c>
      <c r="D153" s="3">
        <v>4.7257439999999998E-2</v>
      </c>
      <c r="E153" s="3">
        <v>0.77263782999999997</v>
      </c>
      <c r="F153" s="3">
        <v>313.23810451000003</v>
      </c>
      <c r="G153" s="3">
        <v>170.9542763</v>
      </c>
      <c r="H153" s="3">
        <v>74.016925029999996</v>
      </c>
      <c r="J153" s="3">
        <v>19.188968464000002</v>
      </c>
      <c r="K153" s="3">
        <v>4.7253042999999995E-2</v>
      </c>
      <c r="L153" s="3">
        <v>0.77239489100000092</v>
      </c>
      <c r="M153" s="3">
        <v>356.08630729500049</v>
      </c>
      <c r="N153" s="3">
        <v>170.99508158100019</v>
      </c>
      <c r="O153" s="3">
        <v>74.021165619000087</v>
      </c>
    </row>
    <row r="154" spans="1:15" x14ac:dyDescent="0.25">
      <c r="A154" s="4">
        <v>18</v>
      </c>
      <c r="C154" s="3">
        <v>-1.9617599999999999E-3</v>
      </c>
      <c r="D154" s="3">
        <v>-4.3970000000000001E-5</v>
      </c>
      <c r="E154" s="3">
        <v>-2.42939E-3</v>
      </c>
      <c r="F154" s="3">
        <v>428.48202785000001</v>
      </c>
      <c r="G154" s="3">
        <v>0.40805280999999999</v>
      </c>
      <c r="H154" s="3">
        <v>4.2405890000000002E-2</v>
      </c>
    </row>
    <row r="155" spans="1:15" x14ac:dyDescent="0.25">
      <c r="A155" s="4">
        <v>19</v>
      </c>
      <c r="B155" s="3" t="s">
        <v>93</v>
      </c>
      <c r="C155" s="3">
        <v>30.069922760000001</v>
      </c>
      <c r="D155" s="3">
        <v>8.5904799999999993E-3</v>
      </c>
      <c r="E155" s="3">
        <v>1.7700434700000001</v>
      </c>
      <c r="F155" s="3">
        <v>-55.120029690000003</v>
      </c>
      <c r="G155" s="3">
        <v>44.964762270000001</v>
      </c>
      <c r="H155" s="3">
        <v>131.78422574000001</v>
      </c>
      <c r="J155" s="3">
        <v>30.069949051000002</v>
      </c>
      <c r="K155" s="3">
        <v>8.5955849999999993E-3</v>
      </c>
      <c r="L155" s="3">
        <v>1.7700788420000022</v>
      </c>
      <c r="M155" s="3">
        <v>326.72591563499998</v>
      </c>
      <c r="N155" s="3">
        <v>44.932520806000056</v>
      </c>
      <c r="O155" s="3">
        <v>131.78371707600019</v>
      </c>
    </row>
    <row r="156" spans="1:15" x14ac:dyDescent="0.25">
      <c r="A156" s="4">
        <v>20</v>
      </c>
      <c r="C156" s="3">
        <v>2.6290999999999999E-4</v>
      </c>
      <c r="D156" s="3">
        <v>5.1050000000000001E-5</v>
      </c>
      <c r="E156" s="3">
        <v>3.5372000000000002E-4</v>
      </c>
      <c r="F156" s="3">
        <v>218.45945325</v>
      </c>
      <c r="G156" s="3">
        <v>-0.32241463999999997</v>
      </c>
      <c r="H156" s="3">
        <v>-5.0866399999999999E-3</v>
      </c>
    </row>
    <row r="157" spans="1:15" x14ac:dyDescent="0.25">
      <c r="A157" s="4">
        <v>21</v>
      </c>
      <c r="B157" s="3" t="s">
        <v>94</v>
      </c>
      <c r="C157" s="3">
        <v>39.482116750000003</v>
      </c>
      <c r="D157" s="3">
        <v>0.2488273</v>
      </c>
      <c r="E157" s="3">
        <v>17.14001206</v>
      </c>
      <c r="F157" s="3">
        <v>238.92903833</v>
      </c>
      <c r="G157" s="3">
        <v>224.06891629</v>
      </c>
      <c r="H157" s="3">
        <v>110.30393684000001</v>
      </c>
      <c r="J157" s="3">
        <v>39.482085154000004</v>
      </c>
      <c r="K157" s="3">
        <v>0.24883247</v>
      </c>
      <c r="L157" s="3">
        <v>17.140016878000022</v>
      </c>
      <c r="M157" s="3">
        <v>253.44981884500029</v>
      </c>
      <c r="N157" s="3">
        <v>224.0648533480003</v>
      </c>
      <c r="O157" s="3">
        <v>110.30275335800015</v>
      </c>
    </row>
    <row r="158" spans="1:15" x14ac:dyDescent="0.25">
      <c r="A158" s="4">
        <v>22</v>
      </c>
      <c r="C158" s="3">
        <v>-3.1596E-4</v>
      </c>
      <c r="D158" s="3">
        <v>5.1700000000000003E-5</v>
      </c>
      <c r="E158" s="3">
        <v>4.8180000000000003E-5</v>
      </c>
      <c r="F158" s="3">
        <v>145.20780515000001</v>
      </c>
      <c r="G158" s="3">
        <v>-4.0629419999999999E-2</v>
      </c>
      <c r="H158" s="3">
        <v>-1.1834819999999999E-2</v>
      </c>
    </row>
  </sheetData>
  <hyperlinks>
    <hyperlink ref="B1" location="WS_Navigation!B2" tooltip="go to navigation sheet" display="Navigate to Worksheet TOC (table of contents)" xr:uid="{83572944-CC99-4034-BF7D-F5B85CA80CA3}"/>
    <hyperlink ref="B33" r:id="rId1" xr:uid="{FD9C24F4-E21A-4E51-B78C-CB0B41132658}"/>
    <hyperlink ref="B57" r:id="rId2" xr:uid="{C9BD44F2-2A52-44CB-BB5D-62B2B9C467FB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5" name="Button 2">
              <controlPr defaultSize="0" print="0" autoFill="0" autoLine="0" autoPict="0" macro="[1]!viewHideEphM">
                <anchor>
                  <from>
                    <xdr:col>5</xdr:col>
                    <xdr:colOff>9525</xdr:colOff>
                    <xdr:row>2</xdr:row>
                    <xdr:rowOff>28575</xdr:rowOff>
                  </from>
                  <to>
                    <xdr:col>7</xdr:col>
                    <xdr:colOff>152400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" r:id="rId6" name="Button 1">
              <controlPr defaultSize="0" print="0" autoFill="0" autoLine="0" autoPict="0" macro="[1]!calcPEph">
                <anchor>
                  <from>
                    <xdr:col>5</xdr:col>
                    <xdr:colOff>9525</xdr:colOff>
                    <xdr:row>4</xdr:row>
                    <xdr:rowOff>38100</xdr:rowOff>
                  </from>
                  <to>
                    <xdr:col>7</xdr:col>
                    <xdr:colOff>152400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251C-9A16-4006-AB0B-E30178DF9C1C}">
  <sheetPr codeName="Sheet9"/>
  <dimension ref="A1:E42"/>
  <sheetViews>
    <sheetView topLeftCell="A5" zoomScale="80" zoomScaleNormal="80" workbookViewId="0">
      <selection activeCell="H43" sqref="H43"/>
    </sheetView>
  </sheetViews>
  <sheetFormatPr defaultRowHeight="12.75" x14ac:dyDescent="0.25"/>
  <cols>
    <col min="1" max="1" width="6.7109375" style="3" customWidth="1"/>
    <col min="2" max="2" width="43.7109375" style="3" customWidth="1"/>
    <col min="3" max="3" width="19.7109375" style="3" customWidth="1"/>
    <col min="4" max="4" width="16.7109375" style="3" customWidth="1"/>
    <col min="5" max="16384" width="9.140625" style="3"/>
  </cols>
  <sheetData>
    <row r="1" spans="1:5" x14ac:dyDescent="0.25">
      <c r="A1" s="2" t="s">
        <v>1</v>
      </c>
      <c r="B1" s="1" t="s">
        <v>0</v>
      </c>
    </row>
    <row r="2" spans="1:5" x14ac:dyDescent="0.25">
      <c r="A2" s="2" t="s">
        <v>2</v>
      </c>
      <c r="B2" s="2" t="s">
        <v>909</v>
      </c>
    </row>
    <row r="3" spans="1:5" x14ac:dyDescent="0.25">
      <c r="A3" s="2" t="s">
        <v>3</v>
      </c>
      <c r="B3" s="1" t="str">
        <f>HYPERLINK("..\Maple\OrbitalMech\SpreadsheetFiles\OrbitTools(jb1).xlsm","Orbital Tools")</f>
        <v>Orbital Tools</v>
      </c>
      <c r="C3" s="3" t="s">
        <v>14</v>
      </c>
    </row>
    <row r="4" spans="1:5" x14ac:dyDescent="0.25">
      <c r="B4" s="53" t="str">
        <f>HYPERLINK("#MainMenu!B7","Main Menu")</f>
        <v>Main Menu</v>
      </c>
    </row>
    <row r="5" spans="1:5" x14ac:dyDescent="0.25">
      <c r="B5" s="58"/>
    </row>
    <row r="6" spans="1:5" x14ac:dyDescent="0.25">
      <c r="B6" s="54"/>
    </row>
    <row r="8" spans="1:5" x14ac:dyDescent="0.25">
      <c r="A8" s="4" t="s">
        <v>8</v>
      </c>
      <c r="B8" s="4" t="s">
        <v>927</v>
      </c>
      <c r="C8" s="4" t="s">
        <v>928</v>
      </c>
      <c r="D8" s="4" t="s">
        <v>67</v>
      </c>
      <c r="E8" s="4" t="s">
        <v>66</v>
      </c>
    </row>
    <row r="9" spans="1:5" x14ac:dyDescent="0.25">
      <c r="A9" s="4">
        <v>1</v>
      </c>
      <c r="B9" s="103"/>
    </row>
    <row r="10" spans="1:5" x14ac:dyDescent="0.25">
      <c r="A10" s="4">
        <v>2</v>
      </c>
      <c r="B10" s="37" t="s">
        <v>1383</v>
      </c>
    </row>
    <row r="11" spans="1:5" x14ac:dyDescent="0.25">
      <c r="A11" s="4">
        <v>3</v>
      </c>
      <c r="B11" s="37" t="s">
        <v>1384</v>
      </c>
    </row>
    <row r="12" spans="1:5" x14ac:dyDescent="0.25">
      <c r="A12" s="4">
        <v>4</v>
      </c>
      <c r="B12" s="3" t="s">
        <v>1186</v>
      </c>
      <c r="C12" s="3" t="s">
        <v>1382</v>
      </c>
    </row>
    <row r="13" spans="1:5" x14ac:dyDescent="0.25">
      <c r="A13" s="4">
        <v>5</v>
      </c>
      <c r="B13" s="3" t="s">
        <v>1184</v>
      </c>
    </row>
    <row r="14" spans="1:5" x14ac:dyDescent="0.25">
      <c r="A14" s="4">
        <v>6</v>
      </c>
      <c r="B14" s="3" t="s">
        <v>1192</v>
      </c>
      <c r="C14" s="3" t="s">
        <v>15</v>
      </c>
    </row>
    <row r="15" spans="1:5" x14ac:dyDescent="0.25">
      <c r="A15" s="4">
        <v>7</v>
      </c>
      <c r="B15" s="3" t="s">
        <v>1181</v>
      </c>
      <c r="C15" s="3" t="s">
        <v>1197</v>
      </c>
      <c r="D15" s="3">
        <v>32241</v>
      </c>
      <c r="E15" s="3" t="s">
        <v>1191</v>
      </c>
    </row>
    <row r="16" spans="1:5" x14ac:dyDescent="0.25">
      <c r="A16" s="4">
        <v>8</v>
      </c>
      <c r="B16" s="3" t="s">
        <v>1185</v>
      </c>
    </row>
    <row r="17" spans="1:5" x14ac:dyDescent="0.25">
      <c r="A17" s="4">
        <v>9</v>
      </c>
      <c r="B17" s="3" t="s">
        <v>1188</v>
      </c>
      <c r="C17" s="3" t="s">
        <v>1189</v>
      </c>
      <c r="D17" s="3">
        <v>2000</v>
      </c>
    </row>
    <row r="18" spans="1:5" x14ac:dyDescent="0.25">
      <c r="A18" s="4">
        <v>10</v>
      </c>
      <c r="B18" s="3" t="s">
        <v>1148</v>
      </c>
      <c r="C18" s="3" t="s">
        <v>1134</v>
      </c>
      <c r="D18" s="3">
        <v>2447259.5</v>
      </c>
      <c r="E18" s="3" t="s">
        <v>1190</v>
      </c>
    </row>
    <row r="19" spans="1:5" x14ac:dyDescent="0.25">
      <c r="A19" s="4">
        <v>11</v>
      </c>
      <c r="B19" s="3" t="s">
        <v>1193</v>
      </c>
      <c r="C19" s="3" t="s">
        <v>1149</v>
      </c>
      <c r="D19" s="7">
        <v>32241</v>
      </c>
      <c r="E19" s="3" t="s">
        <v>1191</v>
      </c>
    </row>
    <row r="20" spans="1:5" x14ac:dyDescent="0.25">
      <c r="A20" s="4">
        <v>12</v>
      </c>
      <c r="B20" s="3" t="s">
        <v>16</v>
      </c>
      <c r="C20" s="3" t="s">
        <v>28</v>
      </c>
      <c r="D20" s="3">
        <v>1.6713560481804588E-2</v>
      </c>
    </row>
    <row r="21" spans="1:5" x14ac:dyDescent="0.25">
      <c r="A21" s="4">
        <v>13</v>
      </c>
      <c r="B21" s="3" t="s">
        <v>39</v>
      </c>
      <c r="C21" s="3" t="s">
        <v>29</v>
      </c>
      <c r="D21" s="3">
        <v>149598022.29063168</v>
      </c>
      <c r="E21" s="3" t="s">
        <v>43</v>
      </c>
    </row>
    <row r="22" spans="1:5" x14ac:dyDescent="0.25">
      <c r="A22" s="4">
        <v>14</v>
      </c>
      <c r="B22" s="3" t="s">
        <v>1107</v>
      </c>
      <c r="C22" s="3" t="s">
        <v>1165</v>
      </c>
      <c r="D22" s="3">
        <v>0</v>
      </c>
      <c r="E22" s="3" t="s">
        <v>44</v>
      </c>
    </row>
    <row r="23" spans="1:5" x14ac:dyDescent="0.25">
      <c r="A23" s="4">
        <v>15</v>
      </c>
      <c r="B23" s="3" t="s">
        <v>1243</v>
      </c>
      <c r="C23" s="3" t="s">
        <v>1166</v>
      </c>
      <c r="D23" s="3">
        <v>196.47469944837425</v>
      </c>
      <c r="E23" s="3" t="s">
        <v>44</v>
      </c>
    </row>
    <row r="24" spans="1:5" x14ac:dyDescent="0.25">
      <c r="A24" s="4">
        <v>16</v>
      </c>
      <c r="B24" s="3" t="s">
        <v>1374</v>
      </c>
      <c r="C24" s="3" t="s">
        <v>1344</v>
      </c>
      <c r="D24" s="3">
        <v>102.73560003642136</v>
      </c>
      <c r="E24" s="3" t="s">
        <v>44</v>
      </c>
    </row>
    <row r="25" spans="1:5" x14ac:dyDescent="0.25">
      <c r="A25" s="4">
        <v>17</v>
      </c>
      <c r="B25" s="3" t="s">
        <v>1108</v>
      </c>
      <c r="C25" s="3" t="s">
        <v>979</v>
      </c>
      <c r="D25" s="3">
        <v>0</v>
      </c>
      <c r="E25" s="3" t="s">
        <v>44</v>
      </c>
    </row>
    <row r="26" spans="1:5" x14ac:dyDescent="0.25">
      <c r="A26" s="4">
        <v>18</v>
      </c>
      <c r="B26" s="103"/>
    </row>
    <row r="27" spans="1:5" x14ac:dyDescent="0.25">
      <c r="A27" s="4">
        <v>19</v>
      </c>
      <c r="B27" s="37" t="s">
        <v>1386</v>
      </c>
    </row>
    <row r="28" spans="1:5" x14ac:dyDescent="0.25">
      <c r="A28" s="4">
        <v>20</v>
      </c>
      <c r="B28" s="37" t="s">
        <v>1384</v>
      </c>
    </row>
    <row r="29" spans="1:5" x14ac:dyDescent="0.25">
      <c r="A29" s="4">
        <v>21</v>
      </c>
      <c r="B29" s="3" t="s">
        <v>1186</v>
      </c>
      <c r="C29" s="3" t="s">
        <v>1385</v>
      </c>
    </row>
    <row r="30" spans="1:5" x14ac:dyDescent="0.25">
      <c r="A30" s="4">
        <v>22</v>
      </c>
      <c r="B30" s="3" t="s">
        <v>1184</v>
      </c>
    </row>
    <row r="31" spans="1:5" x14ac:dyDescent="0.25">
      <c r="A31" s="4">
        <v>23</v>
      </c>
      <c r="B31" s="3" t="s">
        <v>1192</v>
      </c>
      <c r="C31" s="3" t="s">
        <v>88</v>
      </c>
    </row>
    <row r="32" spans="1:5" x14ac:dyDescent="0.25">
      <c r="A32" s="4">
        <v>24</v>
      </c>
      <c r="B32" s="3" t="s">
        <v>1181</v>
      </c>
      <c r="C32" s="3" t="s">
        <v>1197</v>
      </c>
      <c r="D32" s="7">
        <v>32350</v>
      </c>
      <c r="E32" s="3" t="s">
        <v>1191</v>
      </c>
    </row>
    <row r="33" spans="1:5" x14ac:dyDescent="0.25">
      <c r="A33" s="4">
        <v>25</v>
      </c>
      <c r="B33" s="3" t="s">
        <v>1185</v>
      </c>
    </row>
    <row r="34" spans="1:5" x14ac:dyDescent="0.25">
      <c r="A34" s="4">
        <v>26</v>
      </c>
      <c r="B34" s="3" t="s">
        <v>1188</v>
      </c>
      <c r="C34" s="3" t="s">
        <v>1189</v>
      </c>
      <c r="D34" s="3">
        <v>2000</v>
      </c>
    </row>
    <row r="35" spans="1:5" x14ac:dyDescent="0.25">
      <c r="A35" s="4">
        <v>27</v>
      </c>
      <c r="B35" s="3" t="s">
        <v>1148</v>
      </c>
      <c r="C35" s="3" t="s">
        <v>1134</v>
      </c>
      <c r="D35" s="3">
        <v>2447368.5</v>
      </c>
      <c r="E35" s="3" t="s">
        <v>1190</v>
      </c>
    </row>
    <row r="36" spans="1:5" x14ac:dyDescent="0.25">
      <c r="A36" s="4">
        <v>28</v>
      </c>
      <c r="B36" s="3" t="s">
        <v>1193</v>
      </c>
      <c r="C36" s="3" t="s">
        <v>1149</v>
      </c>
      <c r="D36" s="7">
        <v>32350</v>
      </c>
      <c r="E36" s="3" t="s">
        <v>1191</v>
      </c>
    </row>
    <row r="37" spans="1:5" x14ac:dyDescent="0.25">
      <c r="A37" s="4">
        <v>29</v>
      </c>
      <c r="B37" s="3" t="s">
        <v>16</v>
      </c>
      <c r="C37" s="3" t="s">
        <v>28</v>
      </c>
      <c r="D37" s="3">
        <v>6.7773830348186216E-3</v>
      </c>
    </row>
    <row r="38" spans="1:5" x14ac:dyDescent="0.25">
      <c r="A38" s="4">
        <v>30</v>
      </c>
      <c r="B38" s="3" t="s">
        <v>39</v>
      </c>
      <c r="C38" s="3" t="s">
        <v>29</v>
      </c>
      <c r="D38" s="3">
        <v>108208600.3794834</v>
      </c>
      <c r="E38" s="3" t="s">
        <v>43</v>
      </c>
    </row>
    <row r="39" spans="1:5" x14ac:dyDescent="0.25">
      <c r="A39" s="4">
        <v>31</v>
      </c>
      <c r="B39" s="3" t="s">
        <v>1107</v>
      </c>
      <c r="C39" s="3" t="s">
        <v>1165</v>
      </c>
      <c r="D39" s="3">
        <v>3.3945472190848189</v>
      </c>
      <c r="E39" s="3" t="s">
        <v>44</v>
      </c>
    </row>
    <row r="40" spans="1:5" x14ac:dyDescent="0.25">
      <c r="A40" s="4">
        <v>32</v>
      </c>
      <c r="B40" s="3" t="s">
        <v>1243</v>
      </c>
      <c r="C40" s="3" t="s">
        <v>1166</v>
      </c>
      <c r="D40" s="3">
        <v>330.52208511995593</v>
      </c>
      <c r="E40" s="3" t="s">
        <v>44</v>
      </c>
    </row>
    <row r="41" spans="1:5" x14ac:dyDescent="0.25">
      <c r="A41" s="4">
        <v>33</v>
      </c>
      <c r="B41" s="3" t="s">
        <v>1374</v>
      </c>
      <c r="C41" s="3" t="s">
        <v>1344</v>
      </c>
      <c r="D41" s="3">
        <v>131.40334920885147</v>
      </c>
      <c r="E41" s="3" t="s">
        <v>44</v>
      </c>
    </row>
    <row r="42" spans="1:5" x14ac:dyDescent="0.25">
      <c r="A42" s="4">
        <v>34</v>
      </c>
      <c r="B42" s="3" t="s">
        <v>1108</v>
      </c>
      <c r="C42" s="3" t="s">
        <v>979</v>
      </c>
      <c r="D42" s="3">
        <v>76.576885470158558</v>
      </c>
      <c r="E42" s="3" t="s">
        <v>44</v>
      </c>
    </row>
  </sheetData>
  <hyperlinks>
    <hyperlink ref="B1" location="WS_Navigation!B2" tooltip="go to navigation sheet" display="Navigate to Worksheet TOC (table of contents)" xr:uid="{D5A54590-0979-48E2-93F7-18EB703C593C}"/>
  </hyperlink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C5C8-B0FD-4D26-B19C-E0B3DC6C9302}">
  <sheetPr codeName="Sheet5"/>
  <dimension ref="A1:J72"/>
  <sheetViews>
    <sheetView zoomScale="80" zoomScaleNormal="80" workbookViewId="0">
      <selection activeCell="F31" sqref="F31"/>
    </sheetView>
  </sheetViews>
  <sheetFormatPr defaultRowHeight="12.75" x14ac:dyDescent="0.25"/>
  <cols>
    <col min="1" max="1" width="6.7109375" style="3" customWidth="1"/>
    <col min="2" max="2" width="15.7109375" style="3" customWidth="1"/>
    <col min="3" max="3" width="20.7109375" style="3" customWidth="1"/>
    <col min="4" max="4" width="15.7109375" style="3" customWidth="1"/>
    <col min="5" max="5" width="12.7109375" style="3" customWidth="1"/>
    <col min="6" max="6" width="9.42578125" style="3" bestFit="1" customWidth="1"/>
    <col min="7" max="16384" width="9.140625" style="3"/>
  </cols>
  <sheetData>
    <row r="1" spans="1:10" x14ac:dyDescent="0.25">
      <c r="A1" s="2" t="s">
        <v>1</v>
      </c>
      <c r="B1" s="1" t="s">
        <v>0</v>
      </c>
    </row>
    <row r="2" spans="1:10" x14ac:dyDescent="0.25">
      <c r="A2" s="2" t="s">
        <v>2</v>
      </c>
      <c r="B2" s="2" t="s">
        <v>55</v>
      </c>
    </row>
    <row r="3" spans="1:10" x14ac:dyDescent="0.25">
      <c r="A3" s="2" t="s">
        <v>3</v>
      </c>
      <c r="B3" s="53" t="str">
        <f>HYPERLINK("..\Maple\OrbitalMech\SpreadsheetFiles\OrbitTools(jb1).xlsm","Orbital Tools")</f>
        <v>Orbital Tools</v>
      </c>
      <c r="C3" s="3" t="s">
        <v>14</v>
      </c>
    </row>
    <row r="4" spans="1:10" x14ac:dyDescent="0.25">
      <c r="B4" s="53" t="str">
        <f>HYPERLINK("#MainMenu!B7","Main Menu")</f>
        <v>Main Menu</v>
      </c>
    </row>
    <row r="5" spans="1:10" x14ac:dyDescent="0.25">
      <c r="B5" s="3" t="s">
        <v>975</v>
      </c>
    </row>
    <row r="8" spans="1:10" x14ac:dyDescent="0.25">
      <c r="B8" s="37" t="s">
        <v>96</v>
      </c>
    </row>
    <row r="9" spans="1:10" ht="13.5" thickBot="1" x14ac:dyDescent="0.3">
      <c r="A9" s="36" t="s">
        <v>8</v>
      </c>
      <c r="B9" s="8" t="s">
        <v>65</v>
      </c>
      <c r="C9" s="8" t="s">
        <v>83</v>
      </c>
      <c r="D9" s="8" t="s">
        <v>84</v>
      </c>
      <c r="E9" s="8" t="s">
        <v>104</v>
      </c>
      <c r="F9" s="8" t="s">
        <v>85</v>
      </c>
      <c r="G9" s="8" t="s">
        <v>942</v>
      </c>
      <c r="H9" s="8" t="s">
        <v>943</v>
      </c>
      <c r="I9" s="8" t="s">
        <v>971</v>
      </c>
      <c r="J9" s="8" t="s">
        <v>972</v>
      </c>
    </row>
    <row r="10" spans="1:10" x14ac:dyDescent="0.25">
      <c r="A10" s="4">
        <v>1</v>
      </c>
      <c r="B10" s="3" t="s">
        <v>86</v>
      </c>
      <c r="C10" s="9">
        <v>132712439935.5</v>
      </c>
      <c r="D10" s="4" t="s">
        <v>51</v>
      </c>
      <c r="E10" s="9">
        <v>696000</v>
      </c>
      <c r="F10" s="4" t="s">
        <v>68</v>
      </c>
      <c r="H10" s="3" t="s">
        <v>967</v>
      </c>
    </row>
    <row r="11" spans="1:10" x14ac:dyDescent="0.25">
      <c r="A11" s="4">
        <v>2</v>
      </c>
      <c r="B11" s="3" t="s">
        <v>87</v>
      </c>
      <c r="C11" s="9">
        <v>22032.1</v>
      </c>
      <c r="D11" s="4" t="s">
        <v>51</v>
      </c>
      <c r="E11" s="9">
        <v>2439</v>
      </c>
      <c r="F11" s="4" t="s">
        <v>68</v>
      </c>
      <c r="G11" s="3">
        <v>7.1099999999999997E-6</v>
      </c>
      <c r="H11" s="3" t="s">
        <v>967</v>
      </c>
    </row>
    <row r="12" spans="1:10" x14ac:dyDescent="0.25">
      <c r="A12" s="4">
        <v>3</v>
      </c>
      <c r="B12" s="3" t="s">
        <v>88</v>
      </c>
      <c r="C12" s="9">
        <v>324858.8</v>
      </c>
      <c r="D12" s="4" t="s">
        <v>51</v>
      </c>
      <c r="E12" s="9">
        <v>6052</v>
      </c>
      <c r="F12" s="4" t="s">
        <v>68</v>
      </c>
      <c r="G12" s="3">
        <v>-1.7099999999999999E-6</v>
      </c>
      <c r="H12" s="3" t="s">
        <v>967</v>
      </c>
      <c r="I12" s="3">
        <v>2.6999999999999999E-5</v>
      </c>
    </row>
    <row r="13" spans="1:10" x14ac:dyDescent="0.25">
      <c r="A13" s="4">
        <v>4</v>
      </c>
      <c r="B13" s="3" t="s">
        <v>15</v>
      </c>
      <c r="C13" s="9">
        <v>398600.4</v>
      </c>
      <c r="D13" s="4" t="s">
        <v>51</v>
      </c>
      <c r="E13" s="9">
        <v>6378.14</v>
      </c>
      <c r="F13" s="4" t="s">
        <v>68</v>
      </c>
      <c r="G13" s="3">
        <v>4.1780999999999997E-3</v>
      </c>
      <c r="H13" s="3" t="s">
        <v>967</v>
      </c>
      <c r="I13" s="3">
        <v>1.08263E-3</v>
      </c>
    </row>
    <row r="14" spans="1:10" x14ac:dyDescent="0.25">
      <c r="A14" s="4">
        <v>5</v>
      </c>
      <c r="B14" s="3" t="s">
        <v>89</v>
      </c>
      <c r="C14" s="9">
        <v>42828.3</v>
      </c>
      <c r="D14" s="4" t="s">
        <v>51</v>
      </c>
      <c r="E14" s="9">
        <v>3397.4</v>
      </c>
      <c r="F14" s="4" t="s">
        <v>68</v>
      </c>
      <c r="G14" s="3">
        <v>4.0613000000000003E-3</v>
      </c>
      <c r="H14" s="3" t="s">
        <v>967</v>
      </c>
      <c r="I14" s="3">
        <v>1.964E-3</v>
      </c>
    </row>
    <row r="15" spans="1:10" x14ac:dyDescent="0.25">
      <c r="A15" s="4">
        <v>6</v>
      </c>
      <c r="B15" s="3" t="s">
        <v>90</v>
      </c>
      <c r="C15" s="9">
        <v>126711995.40000001</v>
      </c>
      <c r="D15" s="4" t="s">
        <v>51</v>
      </c>
      <c r="E15" s="9">
        <v>71492.399999999994</v>
      </c>
      <c r="F15" s="4" t="s">
        <v>68</v>
      </c>
      <c r="G15" s="3">
        <v>1.0075600000000001E-2</v>
      </c>
      <c r="H15" s="3" t="s">
        <v>967</v>
      </c>
      <c r="I15" s="3">
        <v>1.4749999999999999E-2</v>
      </c>
    </row>
    <row r="16" spans="1:10" x14ac:dyDescent="0.25">
      <c r="A16" s="4">
        <v>7</v>
      </c>
      <c r="B16" s="3" t="s">
        <v>91</v>
      </c>
      <c r="C16" s="9">
        <v>37939519.700000003</v>
      </c>
      <c r="D16" s="4" t="s">
        <v>51</v>
      </c>
      <c r="E16" s="9">
        <v>60268.4</v>
      </c>
      <c r="F16" s="4" t="s">
        <v>68</v>
      </c>
      <c r="G16" s="3">
        <v>9.5238000000000007E-3</v>
      </c>
      <c r="H16" s="3" t="s">
        <v>967</v>
      </c>
      <c r="I16" s="3">
        <v>1.6449999999999999E-2</v>
      </c>
    </row>
    <row r="17" spans="1:9" x14ac:dyDescent="0.25">
      <c r="A17" s="4">
        <v>8</v>
      </c>
      <c r="B17" s="3" t="s">
        <v>92</v>
      </c>
      <c r="C17" s="9">
        <v>5780158.5</v>
      </c>
      <c r="D17" s="4" t="s">
        <v>51</v>
      </c>
      <c r="E17" s="9">
        <v>25559.4</v>
      </c>
      <c r="F17" s="4" t="s">
        <v>68</v>
      </c>
      <c r="G17" s="3">
        <v>-6.4102999999999999E-3</v>
      </c>
      <c r="H17" s="3" t="s">
        <v>967</v>
      </c>
      <c r="I17" s="3">
        <v>1.2E-2</v>
      </c>
    </row>
    <row r="18" spans="1:9" x14ac:dyDescent="0.25">
      <c r="A18" s="4">
        <v>9</v>
      </c>
      <c r="B18" s="3" t="s">
        <v>93</v>
      </c>
      <c r="C18" s="9">
        <v>6871307.7999999998</v>
      </c>
      <c r="D18" s="4" t="s">
        <v>51</v>
      </c>
      <c r="E18" s="9">
        <v>25269.1</v>
      </c>
      <c r="F18" s="4" t="s">
        <v>68</v>
      </c>
      <c r="G18" s="3">
        <v>5.4253000000000001E-3</v>
      </c>
      <c r="H18" s="3" t="s">
        <v>967</v>
      </c>
      <c r="I18" s="3">
        <v>4.0000000000000001E-3</v>
      </c>
    </row>
    <row r="19" spans="1:9" x14ac:dyDescent="0.25">
      <c r="A19" s="4">
        <v>10</v>
      </c>
      <c r="B19" s="3" t="s">
        <v>94</v>
      </c>
      <c r="C19" s="9">
        <v>1020.9</v>
      </c>
      <c r="D19" s="4" t="s">
        <v>51</v>
      </c>
      <c r="E19" s="9">
        <v>1500</v>
      </c>
      <c r="F19" s="4" t="s">
        <v>68</v>
      </c>
      <c r="G19" s="3">
        <v>-6.5240000000000003E-4</v>
      </c>
      <c r="H19" s="3" t="s">
        <v>967</v>
      </c>
    </row>
    <row r="20" spans="1:9" x14ac:dyDescent="0.25">
      <c r="A20" s="4">
        <v>11</v>
      </c>
      <c r="B20" s="3" t="s">
        <v>95</v>
      </c>
      <c r="C20" s="9">
        <v>4902.8</v>
      </c>
      <c r="D20" s="4" t="s">
        <v>51</v>
      </c>
      <c r="E20" s="9">
        <v>1783</v>
      </c>
      <c r="F20" s="4" t="s">
        <v>68</v>
      </c>
      <c r="G20" s="3">
        <v>1.5249999999999999E-4</v>
      </c>
      <c r="H20" s="3" t="s">
        <v>967</v>
      </c>
      <c r="I20" s="3">
        <v>2.0269999999999999E-4</v>
      </c>
    </row>
    <row r="23" spans="1:9" x14ac:dyDescent="0.25">
      <c r="B23" s="3" t="s">
        <v>97</v>
      </c>
    </row>
    <row r="24" spans="1:9" x14ac:dyDescent="0.25">
      <c r="B24" s="37" t="s">
        <v>1164</v>
      </c>
    </row>
    <row r="25" spans="1:9" ht="13.5" thickBot="1" x14ac:dyDescent="0.3">
      <c r="A25" s="8" t="s">
        <v>8</v>
      </c>
      <c r="B25" s="8" t="s">
        <v>65</v>
      </c>
      <c r="C25" s="8" t="s">
        <v>67</v>
      </c>
      <c r="D25" s="8" t="s">
        <v>66</v>
      </c>
      <c r="E25" s="8" t="s">
        <v>973</v>
      </c>
      <c r="F25" s="61" t="s">
        <v>974</v>
      </c>
    </row>
    <row r="26" spans="1:9" x14ac:dyDescent="0.25">
      <c r="A26" s="4">
        <v>1</v>
      </c>
      <c r="B26" s="3" t="s">
        <v>58</v>
      </c>
      <c r="C26" s="9">
        <v>132712439935.5</v>
      </c>
      <c r="D26" s="4" t="s">
        <v>51</v>
      </c>
      <c r="E26" s="3" t="s">
        <v>968</v>
      </c>
      <c r="F26" s="3" t="s">
        <v>966</v>
      </c>
    </row>
    <row r="27" spans="1:9" x14ac:dyDescent="0.25">
      <c r="A27" s="4">
        <v>2</v>
      </c>
      <c r="B27" s="3" t="s">
        <v>56</v>
      </c>
      <c r="C27" s="9">
        <v>22032.1</v>
      </c>
      <c r="D27" s="4" t="s">
        <v>51</v>
      </c>
      <c r="E27" s="3" t="s">
        <v>968</v>
      </c>
      <c r="F27" s="3" t="s">
        <v>985</v>
      </c>
    </row>
    <row r="28" spans="1:9" x14ac:dyDescent="0.25">
      <c r="A28" s="4">
        <v>3</v>
      </c>
      <c r="B28" s="3" t="s">
        <v>57</v>
      </c>
      <c r="C28" s="9">
        <v>324858.8</v>
      </c>
      <c r="D28" s="4" t="s">
        <v>51</v>
      </c>
      <c r="E28" s="3" t="s">
        <v>968</v>
      </c>
    </row>
    <row r="29" spans="1:9" x14ac:dyDescent="0.25">
      <c r="A29" s="4">
        <v>4</v>
      </c>
      <c r="B29" s="3" t="s">
        <v>50</v>
      </c>
      <c r="C29" s="9">
        <v>398600.4</v>
      </c>
      <c r="D29" s="4" t="s">
        <v>51</v>
      </c>
      <c r="E29" s="3" t="s">
        <v>968</v>
      </c>
    </row>
    <row r="30" spans="1:9" x14ac:dyDescent="0.25">
      <c r="A30" s="4">
        <v>5</v>
      </c>
      <c r="B30" s="3" t="s">
        <v>59</v>
      </c>
      <c r="C30" s="9">
        <v>42828.3</v>
      </c>
      <c r="D30" s="4" t="s">
        <v>51</v>
      </c>
      <c r="E30" s="3" t="s">
        <v>968</v>
      </c>
    </row>
    <row r="31" spans="1:9" x14ac:dyDescent="0.25">
      <c r="A31" s="4">
        <v>6</v>
      </c>
      <c r="B31" s="3" t="s">
        <v>60</v>
      </c>
      <c r="C31" s="9">
        <v>126711995.40000001</v>
      </c>
      <c r="D31" s="4" t="s">
        <v>51</v>
      </c>
      <c r="E31" s="3" t="s">
        <v>968</v>
      </c>
    </row>
    <row r="32" spans="1:9" x14ac:dyDescent="0.25">
      <c r="A32" s="4">
        <v>7</v>
      </c>
      <c r="B32" s="3" t="s">
        <v>61</v>
      </c>
      <c r="C32" s="9">
        <v>37939519.700000003</v>
      </c>
      <c r="D32" s="4" t="s">
        <v>51</v>
      </c>
      <c r="E32" s="3" t="s">
        <v>968</v>
      </c>
    </row>
    <row r="33" spans="1:5" x14ac:dyDescent="0.25">
      <c r="A33" s="4">
        <v>8</v>
      </c>
      <c r="B33" s="3" t="s">
        <v>63</v>
      </c>
      <c r="C33" s="9">
        <v>5780158.5</v>
      </c>
      <c r="D33" s="4" t="s">
        <v>51</v>
      </c>
      <c r="E33" s="3" t="s">
        <v>968</v>
      </c>
    </row>
    <row r="34" spans="1:5" x14ac:dyDescent="0.25">
      <c r="A34" s="4">
        <v>9</v>
      </c>
      <c r="B34" s="3" t="s">
        <v>62</v>
      </c>
      <c r="C34" s="9">
        <v>6871307.7999999998</v>
      </c>
      <c r="D34" s="4" t="s">
        <v>51</v>
      </c>
      <c r="E34" s="3" t="s">
        <v>968</v>
      </c>
    </row>
    <row r="35" spans="1:5" x14ac:dyDescent="0.25">
      <c r="A35" s="4">
        <v>10</v>
      </c>
      <c r="B35" s="3" t="s">
        <v>64</v>
      </c>
      <c r="C35" s="9">
        <v>1020.9</v>
      </c>
      <c r="D35" s="4" t="s">
        <v>51</v>
      </c>
      <c r="E35" s="3" t="s">
        <v>968</v>
      </c>
    </row>
    <row r="36" spans="1:5" x14ac:dyDescent="0.25">
      <c r="A36" s="4">
        <v>11</v>
      </c>
      <c r="B36" s="3" t="s">
        <v>81</v>
      </c>
      <c r="C36" s="9">
        <v>4902.8</v>
      </c>
      <c r="D36" s="4" t="s">
        <v>51</v>
      </c>
      <c r="E36" s="3" t="s">
        <v>968</v>
      </c>
    </row>
    <row r="37" spans="1:5" x14ac:dyDescent="0.25">
      <c r="A37" s="4">
        <v>12</v>
      </c>
      <c r="C37" s="9"/>
    </row>
    <row r="38" spans="1:5" x14ac:dyDescent="0.25">
      <c r="A38" s="4">
        <v>13</v>
      </c>
      <c r="B38" s="3" t="s">
        <v>69</v>
      </c>
      <c r="C38" s="9">
        <v>696000</v>
      </c>
      <c r="D38" s="4" t="s">
        <v>68</v>
      </c>
      <c r="E38" s="3" t="s">
        <v>968</v>
      </c>
    </row>
    <row r="39" spans="1:5" x14ac:dyDescent="0.25">
      <c r="A39" s="4">
        <v>14</v>
      </c>
      <c r="B39" s="3" t="s">
        <v>70</v>
      </c>
      <c r="C39" s="9">
        <v>2439</v>
      </c>
      <c r="D39" s="4" t="s">
        <v>68</v>
      </c>
      <c r="E39" s="3" t="s">
        <v>968</v>
      </c>
    </row>
    <row r="40" spans="1:5" x14ac:dyDescent="0.25">
      <c r="A40" s="4">
        <v>15</v>
      </c>
      <c r="B40" s="3" t="s">
        <v>71</v>
      </c>
      <c r="C40" s="9">
        <v>6052</v>
      </c>
      <c r="D40" s="4" t="s">
        <v>68</v>
      </c>
      <c r="E40" s="3" t="s">
        <v>968</v>
      </c>
    </row>
    <row r="41" spans="1:5" x14ac:dyDescent="0.25">
      <c r="A41" s="4">
        <v>16</v>
      </c>
      <c r="B41" s="3" t="s">
        <v>72</v>
      </c>
      <c r="C41" s="9">
        <v>6378.14</v>
      </c>
      <c r="D41" s="4" t="s">
        <v>68</v>
      </c>
      <c r="E41" s="3" t="s">
        <v>968</v>
      </c>
    </row>
    <row r="42" spans="1:5" x14ac:dyDescent="0.25">
      <c r="A42" s="4">
        <v>17</v>
      </c>
      <c r="B42" s="3" t="s">
        <v>73</v>
      </c>
      <c r="C42" s="9">
        <v>3397.4</v>
      </c>
      <c r="D42" s="4" t="s">
        <v>68</v>
      </c>
      <c r="E42" s="3" t="s">
        <v>968</v>
      </c>
    </row>
    <row r="43" spans="1:5" x14ac:dyDescent="0.25">
      <c r="A43" s="4">
        <v>18</v>
      </c>
      <c r="B43" s="3" t="s">
        <v>74</v>
      </c>
      <c r="C43" s="9">
        <v>71492.399999999994</v>
      </c>
      <c r="D43" s="4" t="s">
        <v>68</v>
      </c>
      <c r="E43" s="3" t="s">
        <v>968</v>
      </c>
    </row>
    <row r="44" spans="1:5" x14ac:dyDescent="0.25">
      <c r="A44" s="4">
        <v>19</v>
      </c>
      <c r="B44" s="3" t="s">
        <v>75</v>
      </c>
      <c r="C44" s="9">
        <v>60268.4</v>
      </c>
      <c r="D44" s="4" t="s">
        <v>68</v>
      </c>
      <c r="E44" s="3" t="s">
        <v>968</v>
      </c>
    </row>
    <row r="45" spans="1:5" x14ac:dyDescent="0.25">
      <c r="A45" s="4">
        <v>20</v>
      </c>
      <c r="B45" s="3" t="s">
        <v>76</v>
      </c>
      <c r="C45" s="9">
        <v>25559.4</v>
      </c>
      <c r="D45" s="4" t="s">
        <v>68</v>
      </c>
      <c r="E45" s="3" t="s">
        <v>968</v>
      </c>
    </row>
    <row r="46" spans="1:5" x14ac:dyDescent="0.25">
      <c r="A46" s="4">
        <v>21</v>
      </c>
      <c r="B46" s="3" t="s">
        <v>77</v>
      </c>
      <c r="C46" s="9">
        <v>25269.1</v>
      </c>
      <c r="D46" s="4" t="s">
        <v>68</v>
      </c>
      <c r="E46" s="3" t="s">
        <v>968</v>
      </c>
    </row>
    <row r="47" spans="1:5" x14ac:dyDescent="0.25">
      <c r="A47" s="4">
        <v>22</v>
      </c>
      <c r="B47" s="3" t="s">
        <v>78</v>
      </c>
      <c r="C47" s="9">
        <v>1500</v>
      </c>
      <c r="D47" s="4" t="s">
        <v>68</v>
      </c>
      <c r="E47" s="3" t="s">
        <v>968</v>
      </c>
    </row>
    <row r="48" spans="1:5" x14ac:dyDescent="0.25">
      <c r="A48" s="4">
        <v>23</v>
      </c>
      <c r="B48" s="3" t="s">
        <v>82</v>
      </c>
      <c r="C48" s="3">
        <v>1783</v>
      </c>
      <c r="D48" s="4" t="s">
        <v>68</v>
      </c>
      <c r="E48" s="3" t="s">
        <v>968</v>
      </c>
    </row>
    <row r="49" spans="1:6" x14ac:dyDescent="0.25">
      <c r="A49" s="4">
        <v>24</v>
      </c>
    </row>
    <row r="50" spans="1:6" x14ac:dyDescent="0.25">
      <c r="A50" s="4">
        <v>25</v>
      </c>
      <c r="B50" s="3" t="s">
        <v>944</v>
      </c>
      <c r="D50" s="4" t="s">
        <v>967</v>
      </c>
      <c r="F50" s="3" t="s">
        <v>986</v>
      </c>
    </row>
    <row r="51" spans="1:6" x14ac:dyDescent="0.25">
      <c r="A51" s="4">
        <v>26</v>
      </c>
      <c r="B51" s="3" t="s">
        <v>945</v>
      </c>
      <c r="C51" s="3">
        <v>7.1099999999999997E-6</v>
      </c>
      <c r="D51" s="4" t="s">
        <v>967</v>
      </c>
      <c r="E51" s="3" t="s">
        <v>969</v>
      </c>
      <c r="F51" s="3" t="s">
        <v>976</v>
      </c>
    </row>
    <row r="52" spans="1:6" x14ac:dyDescent="0.25">
      <c r="A52" s="4">
        <v>27</v>
      </c>
      <c r="B52" s="3" t="s">
        <v>946</v>
      </c>
      <c r="C52" s="3">
        <v>-1.7099999999999999E-6</v>
      </c>
      <c r="D52" s="4" t="s">
        <v>967</v>
      </c>
      <c r="E52" s="3" t="s">
        <v>969</v>
      </c>
    </row>
    <row r="53" spans="1:6" x14ac:dyDescent="0.25">
      <c r="A53" s="4">
        <v>28</v>
      </c>
      <c r="B53" s="3" t="s">
        <v>947</v>
      </c>
      <c r="C53" s="3">
        <v>4.1780999999999997E-3</v>
      </c>
      <c r="D53" s="4" t="s">
        <v>967</v>
      </c>
      <c r="E53" s="3" t="s">
        <v>969</v>
      </c>
    </row>
    <row r="54" spans="1:6" x14ac:dyDescent="0.25">
      <c r="A54" s="4">
        <v>29</v>
      </c>
      <c r="B54" s="3" t="s">
        <v>948</v>
      </c>
      <c r="C54" s="3">
        <v>4.0613000000000003E-3</v>
      </c>
      <c r="D54" s="4" t="s">
        <v>967</v>
      </c>
      <c r="E54" s="3" t="s">
        <v>969</v>
      </c>
    </row>
    <row r="55" spans="1:6" x14ac:dyDescent="0.25">
      <c r="A55" s="4">
        <v>30</v>
      </c>
      <c r="B55" s="3" t="s">
        <v>949</v>
      </c>
      <c r="C55" s="3">
        <v>1.0075600000000001E-2</v>
      </c>
      <c r="D55" s="4" t="s">
        <v>967</v>
      </c>
      <c r="E55" s="3" t="s">
        <v>969</v>
      </c>
    </row>
    <row r="56" spans="1:6" x14ac:dyDescent="0.25">
      <c r="A56" s="4">
        <v>31</v>
      </c>
      <c r="B56" s="3" t="s">
        <v>950</v>
      </c>
      <c r="C56" s="3">
        <v>9.5238000000000007E-3</v>
      </c>
      <c r="D56" s="4" t="s">
        <v>967</v>
      </c>
      <c r="E56" s="3" t="s">
        <v>969</v>
      </c>
    </row>
    <row r="57" spans="1:6" x14ac:dyDescent="0.25">
      <c r="A57" s="4">
        <v>32</v>
      </c>
      <c r="B57" s="3" t="s">
        <v>951</v>
      </c>
      <c r="C57" s="3">
        <v>-6.4102999999999999E-3</v>
      </c>
      <c r="D57" s="4" t="s">
        <v>967</v>
      </c>
      <c r="E57" s="3" t="s">
        <v>969</v>
      </c>
    </row>
    <row r="58" spans="1:6" x14ac:dyDescent="0.25">
      <c r="A58" s="4">
        <v>33</v>
      </c>
      <c r="B58" s="3" t="s">
        <v>952</v>
      </c>
      <c r="C58" s="3">
        <v>5.4253000000000001E-3</v>
      </c>
      <c r="D58" s="4" t="s">
        <v>967</v>
      </c>
      <c r="E58" s="3" t="s">
        <v>969</v>
      </c>
    </row>
    <row r="59" spans="1:6" x14ac:dyDescent="0.25">
      <c r="A59" s="4">
        <v>34</v>
      </c>
      <c r="B59" s="3" t="s">
        <v>953</v>
      </c>
      <c r="C59" s="3">
        <v>-6.5240000000000003E-4</v>
      </c>
      <c r="D59" s="4" t="s">
        <v>967</v>
      </c>
      <c r="E59" s="3" t="s">
        <v>969</v>
      </c>
    </row>
    <row r="60" spans="1:6" x14ac:dyDescent="0.25">
      <c r="A60" s="4">
        <v>35</v>
      </c>
      <c r="B60" s="3" t="s">
        <v>954</v>
      </c>
      <c r="C60" s="3">
        <v>1.5249999999999999E-4</v>
      </c>
      <c r="D60" s="4" t="s">
        <v>967</v>
      </c>
      <c r="E60" s="3" t="s">
        <v>969</v>
      </c>
    </row>
    <row r="61" spans="1:6" x14ac:dyDescent="0.25">
      <c r="A61" s="4">
        <v>36</v>
      </c>
    </row>
    <row r="62" spans="1:6" x14ac:dyDescent="0.25">
      <c r="A62" s="4">
        <v>37</v>
      </c>
      <c r="B62" s="3" t="s">
        <v>955</v>
      </c>
    </row>
    <row r="63" spans="1:6" x14ac:dyDescent="0.25">
      <c r="A63" s="4">
        <v>38</v>
      </c>
      <c r="B63" s="3" t="s">
        <v>956</v>
      </c>
    </row>
    <row r="64" spans="1:6" x14ac:dyDescent="0.25">
      <c r="A64" s="4">
        <v>39</v>
      </c>
      <c r="B64" s="3" t="s">
        <v>957</v>
      </c>
      <c r="C64" s="3">
        <v>2.6999999999999999E-5</v>
      </c>
      <c r="E64" s="3" t="s">
        <v>970</v>
      </c>
    </row>
    <row r="65" spans="1:5" x14ac:dyDescent="0.25">
      <c r="A65" s="4">
        <v>40</v>
      </c>
      <c r="B65" s="3" t="s">
        <v>958</v>
      </c>
      <c r="C65" s="3">
        <v>1.08263E-3</v>
      </c>
      <c r="E65" s="3" t="s">
        <v>970</v>
      </c>
    </row>
    <row r="66" spans="1:5" x14ac:dyDescent="0.25">
      <c r="A66" s="4">
        <v>41</v>
      </c>
      <c r="B66" s="3" t="s">
        <v>959</v>
      </c>
      <c r="C66" s="3">
        <v>1.964E-3</v>
      </c>
      <c r="E66" s="3" t="s">
        <v>970</v>
      </c>
    </row>
    <row r="67" spans="1:5" x14ac:dyDescent="0.25">
      <c r="A67" s="4">
        <v>42</v>
      </c>
      <c r="B67" s="3" t="s">
        <v>960</v>
      </c>
      <c r="C67" s="3">
        <v>1.4749999999999999E-2</v>
      </c>
      <c r="E67" s="3" t="s">
        <v>970</v>
      </c>
    </row>
    <row r="68" spans="1:5" x14ac:dyDescent="0.25">
      <c r="A68" s="4">
        <v>43</v>
      </c>
      <c r="B68" s="3" t="s">
        <v>961</v>
      </c>
      <c r="C68" s="3">
        <v>1.6449999999999999E-2</v>
      </c>
      <c r="E68" s="3" t="s">
        <v>970</v>
      </c>
    </row>
    <row r="69" spans="1:5" x14ac:dyDescent="0.25">
      <c r="A69" s="4">
        <v>44</v>
      </c>
      <c r="B69" s="3" t="s">
        <v>962</v>
      </c>
      <c r="C69" s="3">
        <v>1.2E-2</v>
      </c>
      <c r="E69" s="3" t="s">
        <v>970</v>
      </c>
    </row>
    <row r="70" spans="1:5" x14ac:dyDescent="0.25">
      <c r="A70" s="4">
        <v>45</v>
      </c>
      <c r="B70" s="3" t="s">
        <v>963</v>
      </c>
      <c r="C70" s="3">
        <v>4.0000000000000001E-3</v>
      </c>
      <c r="E70" s="3" t="s">
        <v>970</v>
      </c>
    </row>
    <row r="71" spans="1:5" x14ac:dyDescent="0.25">
      <c r="A71" s="4">
        <v>46</v>
      </c>
      <c r="B71" s="3" t="s">
        <v>964</v>
      </c>
    </row>
    <row r="72" spans="1:5" x14ac:dyDescent="0.25">
      <c r="A72" s="4">
        <v>47</v>
      </c>
      <c r="B72" s="3" t="s">
        <v>965</v>
      </c>
      <c r="C72" s="3">
        <v>2.0269999999999999E-4</v>
      </c>
      <c r="E72" s="3" t="s">
        <v>970</v>
      </c>
    </row>
  </sheetData>
  <phoneticPr fontId="24" type="noConversion"/>
  <hyperlinks>
    <hyperlink ref="B1" location="WS_Navigation!B2" tooltip="go to navigation sheet" display="Navigate to Worksheet TOC (table of contents)" xr:uid="{CEB614F0-40AA-4B44-8208-FBC29B7616D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Line="0" autoPict="0" macro="[1]!updateConSummary">
                <anchor>
                  <from>
                    <xdr:col>1</xdr:col>
                    <xdr:colOff>76200</xdr:colOff>
                    <xdr:row>5</xdr:row>
                    <xdr:rowOff>19050</xdr:rowOff>
                  </from>
                  <to>
                    <xdr:col>2</xdr:col>
                    <xdr:colOff>1047750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13E54-73F3-417F-9274-7FDA51934AF4}">
  <sheetPr codeName="Sheet6"/>
  <dimension ref="A1:D40"/>
  <sheetViews>
    <sheetView zoomScale="80" zoomScaleNormal="80" workbookViewId="0">
      <selection activeCell="D13" sqref="D13"/>
    </sheetView>
  </sheetViews>
  <sheetFormatPr defaultRowHeight="12.75" x14ac:dyDescent="0.25"/>
  <cols>
    <col min="1" max="1" width="6.7109375" style="3" customWidth="1"/>
    <col min="2" max="2" width="15.7109375" style="3" customWidth="1"/>
    <col min="3" max="3" width="25.140625" style="3" customWidth="1"/>
    <col min="4" max="4" width="21.7109375" style="3" bestFit="1" customWidth="1"/>
    <col min="5" max="16384" width="9.140625" style="3"/>
  </cols>
  <sheetData>
    <row r="1" spans="1:4" x14ac:dyDescent="0.25">
      <c r="A1" s="2" t="s">
        <v>1</v>
      </c>
      <c r="B1" s="1" t="s">
        <v>0</v>
      </c>
    </row>
    <row r="2" spans="1:4" x14ac:dyDescent="0.25">
      <c r="A2" s="2" t="s">
        <v>2</v>
      </c>
      <c r="B2" s="2" t="s">
        <v>132</v>
      </c>
    </row>
    <row r="3" spans="1:4" x14ac:dyDescent="0.25">
      <c r="A3" s="2" t="s">
        <v>3</v>
      </c>
      <c r="B3" s="53" t="str">
        <f>HYPERLINK("..\Maple\OrbitalMech\SpreadsheetFiles\OrbitTools(jb1).xlsm","Orbital Tools")</f>
        <v>Orbital Tools</v>
      </c>
      <c r="C3" s="3" t="s">
        <v>14</v>
      </c>
    </row>
    <row r="4" spans="1:4" x14ac:dyDescent="0.25">
      <c r="B4" s="53" t="str">
        <f>HYPERLINK("#MainMenu!B7","Main Menu")</f>
        <v>Main Menu</v>
      </c>
    </row>
    <row r="7" spans="1:4" x14ac:dyDescent="0.25">
      <c r="A7" s="3" t="s">
        <v>8</v>
      </c>
    </row>
    <row r="8" spans="1:4" x14ac:dyDescent="0.25">
      <c r="A8" s="3">
        <v>1</v>
      </c>
      <c r="B8" s="3" t="s">
        <v>889</v>
      </c>
      <c r="D8" s="3" t="s">
        <v>1325</v>
      </c>
    </row>
    <row r="9" spans="1:4" x14ac:dyDescent="0.25">
      <c r="A9" s="3">
        <v>2</v>
      </c>
      <c r="B9" s="3" t="s">
        <v>890</v>
      </c>
      <c r="D9" s="3" t="s">
        <v>1325</v>
      </c>
    </row>
    <row r="10" spans="1:4" x14ac:dyDescent="0.25">
      <c r="A10" s="3">
        <v>3</v>
      </c>
      <c r="B10" s="3" t="s">
        <v>891</v>
      </c>
      <c r="D10" s="3" t="s">
        <v>1325</v>
      </c>
    </row>
    <row r="11" spans="1:4" x14ac:dyDescent="0.25">
      <c r="A11" s="3">
        <v>4</v>
      </c>
      <c r="B11" s="3" t="s">
        <v>892</v>
      </c>
      <c r="D11" s="3" t="s">
        <v>1326</v>
      </c>
    </row>
    <row r="12" spans="1:4" x14ac:dyDescent="0.25">
      <c r="A12" s="3">
        <v>5</v>
      </c>
      <c r="B12" s="3" t="s">
        <v>893</v>
      </c>
      <c r="D12" s="3" t="s">
        <v>1326</v>
      </c>
    </row>
    <row r="13" spans="1:4" x14ac:dyDescent="0.25">
      <c r="A13" s="3">
        <v>6</v>
      </c>
      <c r="B13" s="3" t="s">
        <v>894</v>
      </c>
      <c r="D13" s="3" t="s">
        <v>1332</v>
      </c>
    </row>
    <row r="18" spans="1:3" x14ac:dyDescent="0.25">
      <c r="B18" s="3" t="s">
        <v>227</v>
      </c>
    </row>
    <row r="19" spans="1:3" x14ac:dyDescent="0.25">
      <c r="B19" s="3" t="s">
        <v>230</v>
      </c>
    </row>
    <row r="20" spans="1:3" x14ac:dyDescent="0.25">
      <c r="A20" s="3">
        <v>1</v>
      </c>
      <c r="B20" s="3" t="s">
        <v>206</v>
      </c>
      <c r="C20" s="56" t="s">
        <v>228</v>
      </c>
    </row>
    <row r="21" spans="1:3" x14ac:dyDescent="0.25">
      <c r="A21" s="3">
        <v>2</v>
      </c>
      <c r="B21" s="3" t="s">
        <v>207</v>
      </c>
      <c r="C21" s="3" t="s">
        <v>229</v>
      </c>
    </row>
    <row r="22" spans="1:3" x14ac:dyDescent="0.25">
      <c r="A22" s="3">
        <v>3</v>
      </c>
      <c r="B22" s="3" t="s">
        <v>208</v>
      </c>
    </row>
    <row r="23" spans="1:3" x14ac:dyDescent="0.25">
      <c r="A23" s="3">
        <v>4</v>
      </c>
      <c r="B23" s="3" t="s">
        <v>209</v>
      </c>
    </row>
    <row r="24" spans="1:3" x14ac:dyDescent="0.25">
      <c r="A24" s="3">
        <v>5</v>
      </c>
      <c r="B24" s="3" t="s">
        <v>210</v>
      </c>
    </row>
    <row r="25" spans="1:3" x14ac:dyDescent="0.25">
      <c r="A25" s="3">
        <v>6</v>
      </c>
      <c r="B25" s="3" t="s">
        <v>211</v>
      </c>
    </row>
    <row r="26" spans="1:3" x14ac:dyDescent="0.25">
      <c r="A26" s="3">
        <v>7</v>
      </c>
      <c r="B26" s="3" t="s">
        <v>212</v>
      </c>
    </row>
    <row r="27" spans="1:3" x14ac:dyDescent="0.25">
      <c r="A27" s="3">
        <v>8</v>
      </c>
      <c r="B27" s="3" t="s">
        <v>213</v>
      </c>
      <c r="C27" s="3" t="s">
        <v>229</v>
      </c>
    </row>
    <row r="28" spans="1:3" x14ac:dyDescent="0.25">
      <c r="A28" s="3">
        <v>9</v>
      </c>
      <c r="B28" s="3" t="s">
        <v>214</v>
      </c>
    </row>
    <row r="29" spans="1:3" x14ac:dyDescent="0.25">
      <c r="A29" s="3">
        <v>10</v>
      </c>
      <c r="B29" s="3" t="s">
        <v>215</v>
      </c>
    </row>
    <row r="30" spans="1:3" x14ac:dyDescent="0.25">
      <c r="A30" s="3">
        <v>11</v>
      </c>
      <c r="B30" s="3" t="s">
        <v>216</v>
      </c>
    </row>
    <row r="31" spans="1:3" x14ac:dyDescent="0.25">
      <c r="A31" s="3">
        <v>12</v>
      </c>
      <c r="B31" s="3" t="s">
        <v>217</v>
      </c>
      <c r="C31" s="56" t="s">
        <v>228</v>
      </c>
    </row>
    <row r="32" spans="1:3" x14ac:dyDescent="0.25">
      <c r="A32" s="3">
        <v>13</v>
      </c>
      <c r="B32" s="3" t="s">
        <v>218</v>
      </c>
    </row>
    <row r="33" spans="1:3" x14ac:dyDescent="0.25">
      <c r="A33" s="3">
        <v>14</v>
      </c>
      <c r="B33" s="3" t="s">
        <v>219</v>
      </c>
    </row>
    <row r="34" spans="1:3" x14ac:dyDescent="0.25">
      <c r="A34" s="3">
        <v>15</v>
      </c>
      <c r="B34" s="3" t="s">
        <v>220</v>
      </c>
    </row>
    <row r="35" spans="1:3" x14ac:dyDescent="0.25">
      <c r="A35" s="3">
        <v>16</v>
      </c>
      <c r="B35" s="3" t="s">
        <v>221</v>
      </c>
    </row>
    <row r="36" spans="1:3" x14ac:dyDescent="0.25">
      <c r="A36" s="3">
        <v>17</v>
      </c>
      <c r="B36" s="3" t="s">
        <v>222</v>
      </c>
    </row>
    <row r="37" spans="1:3" x14ac:dyDescent="0.25">
      <c r="A37" s="3">
        <v>18</v>
      </c>
      <c r="B37" s="3" t="s">
        <v>223</v>
      </c>
    </row>
    <row r="38" spans="1:3" x14ac:dyDescent="0.25">
      <c r="A38" s="3">
        <v>19</v>
      </c>
      <c r="B38" s="3" t="s">
        <v>224</v>
      </c>
      <c r="C38" s="56" t="s">
        <v>228</v>
      </c>
    </row>
    <row r="39" spans="1:3" x14ac:dyDescent="0.25">
      <c r="A39" s="3">
        <v>20</v>
      </c>
      <c r="B39" s="3" t="s">
        <v>225</v>
      </c>
      <c r="C39" s="56" t="s">
        <v>228</v>
      </c>
    </row>
    <row r="40" spans="1:3" x14ac:dyDescent="0.25">
      <c r="A40" s="3">
        <v>21</v>
      </c>
      <c r="B40" s="3" t="s">
        <v>226</v>
      </c>
    </row>
  </sheetData>
  <hyperlinks>
    <hyperlink ref="B1" location="WS_Navigation!B2" tooltip="go to navigation sheet" display="Navigate to Worksheet TOC (table of contents)" xr:uid="{6747EFE8-9A9F-4F5A-8A40-F212498BAA9B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A183A-CE30-474E-AF2B-FC1CC56D77B4}">
  <sheetPr codeName="Sheet8"/>
  <dimension ref="A1:G354"/>
  <sheetViews>
    <sheetView zoomScale="80" zoomScaleNormal="80" workbookViewId="0">
      <selection activeCell="B1" sqref="B1"/>
    </sheetView>
  </sheetViews>
  <sheetFormatPr defaultRowHeight="12.75" x14ac:dyDescent="0.25"/>
  <cols>
    <col min="1" max="1" width="6.7109375" style="3" customWidth="1"/>
    <col min="2" max="2" width="21.7109375" style="3" customWidth="1"/>
    <col min="3" max="3" width="20.5703125" style="3" customWidth="1"/>
    <col min="4" max="4" width="89" style="3" customWidth="1"/>
    <col min="5" max="5" width="58.85546875" style="3" bestFit="1" customWidth="1"/>
    <col min="6" max="6" width="26" style="3" bestFit="1" customWidth="1"/>
    <col min="7" max="7" width="16.5703125" style="3" bestFit="1" customWidth="1"/>
    <col min="8" max="16384" width="9.140625" style="3"/>
  </cols>
  <sheetData>
    <row r="1" spans="1:7" x14ac:dyDescent="0.25">
      <c r="A1" s="2" t="s">
        <v>1</v>
      </c>
      <c r="B1" s="1" t="s">
        <v>0</v>
      </c>
    </row>
    <row r="2" spans="1:7" x14ac:dyDescent="0.25">
      <c r="A2" s="2" t="s">
        <v>2</v>
      </c>
      <c r="B2" s="2" t="s">
        <v>166</v>
      </c>
    </row>
    <row r="3" spans="1:7" x14ac:dyDescent="0.25">
      <c r="A3" s="2" t="s">
        <v>3</v>
      </c>
      <c r="B3" s="53" t="str">
        <f>HYPERLINK("..\Maple\OrbitalMech\SpreadsheetFiles\OrbitTools(jb1).xlsm","Orbital Tools")</f>
        <v>Orbital Tools</v>
      </c>
      <c r="C3" s="3" t="s">
        <v>14</v>
      </c>
    </row>
    <row r="4" spans="1:7" ht="14.25" x14ac:dyDescent="0.25">
      <c r="A4" s="49"/>
      <c r="B4" s="53" t="str">
        <f>HYPERLINK("#MainMenu!B7","Main Menu")</f>
        <v>Main Menu</v>
      </c>
    </row>
    <row r="5" spans="1:7" x14ac:dyDescent="0.25">
      <c r="B5" s="3" t="s">
        <v>1080</v>
      </c>
    </row>
    <row r="8" spans="1:7" x14ac:dyDescent="0.25">
      <c r="B8" s="3" t="s">
        <v>1079</v>
      </c>
      <c r="C8" s="3" t="s">
        <v>1571</v>
      </c>
    </row>
    <row r="9" spans="1:7" x14ac:dyDescent="0.25">
      <c r="A9" s="4" t="s">
        <v>8</v>
      </c>
      <c r="B9" s="5" t="s">
        <v>191</v>
      </c>
      <c r="C9" s="5" t="s">
        <v>192</v>
      </c>
      <c r="D9" s="5" t="s">
        <v>193</v>
      </c>
      <c r="E9" s="5" t="s">
        <v>194</v>
      </c>
      <c r="F9" s="5" t="s">
        <v>195</v>
      </c>
      <c r="G9" s="5" t="s">
        <v>196</v>
      </c>
    </row>
    <row r="10" spans="1:7" x14ac:dyDescent="0.25">
      <c r="A10" s="4">
        <v>1</v>
      </c>
      <c r="B10" s="3" t="s">
        <v>1053</v>
      </c>
      <c r="C10" s="3" t="s">
        <v>231</v>
      </c>
      <c r="D10" s="3" t="s">
        <v>232</v>
      </c>
      <c r="E10" s="3" t="s">
        <v>234</v>
      </c>
      <c r="F10" s="3" t="s">
        <v>233</v>
      </c>
      <c r="G10" s="3" t="s">
        <v>168</v>
      </c>
    </row>
    <row r="11" spans="1:7" x14ac:dyDescent="0.25">
      <c r="A11" s="4">
        <v>2</v>
      </c>
      <c r="B11" s="3" t="s">
        <v>1053</v>
      </c>
      <c r="C11" s="3" t="s">
        <v>235</v>
      </c>
      <c r="D11" s="3" t="s">
        <v>236</v>
      </c>
      <c r="E11" s="3" t="s">
        <v>1045</v>
      </c>
      <c r="F11" s="3" t="s">
        <v>233</v>
      </c>
      <c r="G11" s="3" t="s">
        <v>168</v>
      </c>
    </row>
    <row r="12" spans="1:7" x14ac:dyDescent="0.25">
      <c r="A12" s="4">
        <v>3</v>
      </c>
      <c r="B12" s="3" t="s">
        <v>1054</v>
      </c>
      <c r="C12" s="3" t="s">
        <v>237</v>
      </c>
      <c r="D12" s="3" t="s">
        <v>238</v>
      </c>
      <c r="E12" s="3" t="s">
        <v>240</v>
      </c>
      <c r="F12" s="3" t="s">
        <v>239</v>
      </c>
      <c r="G12" s="3" t="s">
        <v>168</v>
      </c>
    </row>
    <row r="13" spans="1:7" x14ac:dyDescent="0.25">
      <c r="A13" s="4">
        <v>4</v>
      </c>
      <c r="C13" s="3" t="s">
        <v>241</v>
      </c>
      <c r="D13" s="3" t="s">
        <v>242</v>
      </c>
      <c r="F13" s="3" t="s">
        <v>239</v>
      </c>
      <c r="G13" s="3" t="s">
        <v>168</v>
      </c>
    </row>
    <row r="14" spans="1:7" x14ac:dyDescent="0.25">
      <c r="A14" s="4">
        <v>5</v>
      </c>
      <c r="B14" s="3" t="s">
        <v>1054</v>
      </c>
      <c r="C14" s="3" t="s">
        <v>243</v>
      </c>
      <c r="D14" s="3" t="s">
        <v>244</v>
      </c>
      <c r="E14" s="3" t="s">
        <v>1047</v>
      </c>
      <c r="F14" s="3" t="s">
        <v>239</v>
      </c>
      <c r="G14" s="3" t="s">
        <v>168</v>
      </c>
    </row>
    <row r="15" spans="1:7" x14ac:dyDescent="0.25">
      <c r="A15" s="4">
        <v>6</v>
      </c>
      <c r="B15" s="3" t="s">
        <v>1055</v>
      </c>
      <c r="C15" s="3" t="s">
        <v>245</v>
      </c>
      <c r="D15" s="3" t="s">
        <v>246</v>
      </c>
      <c r="E15" s="3" t="s">
        <v>1176</v>
      </c>
      <c r="F15" s="3" t="s">
        <v>239</v>
      </c>
      <c r="G15" s="3" t="s">
        <v>168</v>
      </c>
    </row>
    <row r="16" spans="1:7" x14ac:dyDescent="0.25">
      <c r="A16" s="4">
        <v>7</v>
      </c>
      <c r="B16" s="3" t="s">
        <v>1055</v>
      </c>
      <c r="C16" s="3" t="s">
        <v>247</v>
      </c>
      <c r="D16" s="3" t="s">
        <v>248</v>
      </c>
      <c r="E16" s="3" t="s">
        <v>249</v>
      </c>
      <c r="F16" s="3" t="s">
        <v>239</v>
      </c>
      <c r="G16" s="3" t="s">
        <v>168</v>
      </c>
    </row>
    <row r="17" spans="1:7" x14ac:dyDescent="0.25">
      <c r="A17" s="4">
        <v>8</v>
      </c>
      <c r="B17" s="3" t="s">
        <v>1055</v>
      </c>
      <c r="C17" s="3" t="s">
        <v>250</v>
      </c>
      <c r="D17" s="3" t="s">
        <v>251</v>
      </c>
      <c r="E17" s="3" t="s">
        <v>1081</v>
      </c>
      <c r="F17" s="3" t="s">
        <v>239</v>
      </c>
      <c r="G17" s="3" t="s">
        <v>168</v>
      </c>
    </row>
    <row r="18" spans="1:7" x14ac:dyDescent="0.25">
      <c r="A18" s="4">
        <v>9</v>
      </c>
      <c r="B18" s="3" t="s">
        <v>1055</v>
      </c>
      <c r="C18" s="3" t="s">
        <v>252</v>
      </c>
      <c r="D18" s="3" t="s">
        <v>253</v>
      </c>
      <c r="E18" s="3" t="s">
        <v>249</v>
      </c>
      <c r="F18" s="3" t="s">
        <v>239</v>
      </c>
      <c r="G18" s="3" t="s">
        <v>168</v>
      </c>
    </row>
    <row r="19" spans="1:7" x14ac:dyDescent="0.25">
      <c r="A19" s="4">
        <v>10</v>
      </c>
      <c r="B19" s="3" t="s">
        <v>1055</v>
      </c>
      <c r="C19" s="3" t="s">
        <v>254</v>
      </c>
      <c r="D19" s="3" t="s">
        <v>255</v>
      </c>
      <c r="F19" s="3" t="s">
        <v>239</v>
      </c>
      <c r="G19" s="3" t="s">
        <v>168</v>
      </c>
    </row>
    <row r="20" spans="1:7" x14ac:dyDescent="0.25">
      <c r="A20" s="4">
        <v>11</v>
      </c>
      <c r="B20" s="3" t="s">
        <v>1054</v>
      </c>
      <c r="C20" s="3" t="s">
        <v>256</v>
      </c>
      <c r="D20" s="3" t="s">
        <v>257</v>
      </c>
      <c r="E20" s="3" t="s">
        <v>258</v>
      </c>
      <c r="F20" s="3" t="s">
        <v>239</v>
      </c>
      <c r="G20" s="3" t="s">
        <v>168</v>
      </c>
    </row>
    <row r="21" spans="1:7" x14ac:dyDescent="0.25">
      <c r="A21" s="4">
        <v>12</v>
      </c>
      <c r="B21" s="3" t="s">
        <v>1054</v>
      </c>
      <c r="C21" s="3" t="s">
        <v>259</v>
      </c>
      <c r="D21" s="3" t="s">
        <v>260</v>
      </c>
      <c r="E21" s="3" t="s">
        <v>261</v>
      </c>
      <c r="F21" s="3" t="s">
        <v>239</v>
      </c>
      <c r="G21" s="3" t="s">
        <v>168</v>
      </c>
    </row>
    <row r="22" spans="1:7" x14ac:dyDescent="0.25">
      <c r="A22" s="4">
        <v>13</v>
      </c>
      <c r="B22" s="3" t="s">
        <v>1054</v>
      </c>
      <c r="C22" s="3" t="s">
        <v>262</v>
      </c>
      <c r="D22" s="3" t="s">
        <v>263</v>
      </c>
      <c r="E22" s="3" t="s">
        <v>265</v>
      </c>
      <c r="F22" s="3" t="s">
        <v>264</v>
      </c>
      <c r="G22" s="3" t="s">
        <v>168</v>
      </c>
    </row>
    <row r="23" spans="1:7" x14ac:dyDescent="0.25">
      <c r="A23" s="4">
        <v>14</v>
      </c>
      <c r="B23" s="3" t="s">
        <v>1056</v>
      </c>
      <c r="C23" s="3" t="s">
        <v>266</v>
      </c>
      <c r="D23" s="3" t="s">
        <v>267</v>
      </c>
      <c r="E23" s="3" t="s">
        <v>268</v>
      </c>
      <c r="F23" s="3" t="s">
        <v>264</v>
      </c>
      <c r="G23" s="3" t="s">
        <v>168</v>
      </c>
    </row>
    <row r="24" spans="1:7" x14ac:dyDescent="0.25">
      <c r="A24" s="4">
        <v>15</v>
      </c>
      <c r="B24" s="3" t="s">
        <v>1054</v>
      </c>
      <c r="C24" s="3" t="s">
        <v>878</v>
      </c>
      <c r="D24" s="3" t="s">
        <v>879</v>
      </c>
      <c r="E24" s="3" t="s">
        <v>880</v>
      </c>
      <c r="F24" s="3" t="s">
        <v>264</v>
      </c>
      <c r="G24" s="3" t="s">
        <v>168</v>
      </c>
    </row>
    <row r="25" spans="1:7" x14ac:dyDescent="0.25">
      <c r="A25" s="4">
        <v>16</v>
      </c>
      <c r="B25" s="3" t="s">
        <v>1054</v>
      </c>
      <c r="C25" s="3" t="s">
        <v>269</v>
      </c>
      <c r="D25" s="3" t="s">
        <v>270</v>
      </c>
      <c r="E25" s="3" t="s">
        <v>271</v>
      </c>
      <c r="F25" s="3" t="s">
        <v>264</v>
      </c>
      <c r="G25" s="3" t="s">
        <v>168</v>
      </c>
    </row>
    <row r="26" spans="1:7" x14ac:dyDescent="0.25">
      <c r="A26" s="4">
        <v>17</v>
      </c>
      <c r="B26" s="3" t="s">
        <v>1054</v>
      </c>
      <c r="C26" s="3" t="s">
        <v>272</v>
      </c>
      <c r="D26" s="3" t="s">
        <v>273</v>
      </c>
      <c r="E26" s="3" t="s">
        <v>274</v>
      </c>
      <c r="F26" s="3" t="s">
        <v>264</v>
      </c>
      <c r="G26" s="3" t="s">
        <v>168</v>
      </c>
    </row>
    <row r="27" spans="1:7" x14ac:dyDescent="0.25">
      <c r="A27" s="4">
        <v>18</v>
      </c>
      <c r="B27" s="3" t="s">
        <v>1054</v>
      </c>
      <c r="C27" s="3" t="s">
        <v>897</v>
      </c>
      <c r="D27" s="3" t="s">
        <v>898</v>
      </c>
      <c r="E27" s="3" t="s">
        <v>899</v>
      </c>
      <c r="F27" s="3" t="s">
        <v>264</v>
      </c>
      <c r="G27" s="3" t="s">
        <v>168</v>
      </c>
    </row>
    <row r="28" spans="1:7" x14ac:dyDescent="0.25">
      <c r="A28" s="4">
        <v>19</v>
      </c>
      <c r="B28" s="3" t="s">
        <v>1054</v>
      </c>
      <c r="C28" s="3" t="s">
        <v>275</v>
      </c>
      <c r="D28" s="3" t="s">
        <v>276</v>
      </c>
      <c r="E28" s="3" t="s">
        <v>277</v>
      </c>
      <c r="F28" s="3" t="s">
        <v>264</v>
      </c>
      <c r="G28" s="3" t="s">
        <v>168</v>
      </c>
    </row>
    <row r="29" spans="1:7" x14ac:dyDescent="0.25">
      <c r="A29" s="4">
        <v>20</v>
      </c>
      <c r="B29" s="3" t="s">
        <v>1054</v>
      </c>
      <c r="C29" s="3" t="s">
        <v>278</v>
      </c>
      <c r="D29" s="3" t="s">
        <v>279</v>
      </c>
      <c r="E29" s="3" t="s">
        <v>280</v>
      </c>
      <c r="F29" s="3" t="s">
        <v>264</v>
      </c>
      <c r="G29" s="3" t="s">
        <v>168</v>
      </c>
    </row>
    <row r="30" spans="1:7" x14ac:dyDescent="0.25">
      <c r="A30" s="4">
        <v>21</v>
      </c>
      <c r="B30" s="3" t="s">
        <v>1054</v>
      </c>
      <c r="C30" s="3" t="s">
        <v>281</v>
      </c>
      <c r="D30" s="3" t="s">
        <v>282</v>
      </c>
      <c r="E30" s="3" t="s">
        <v>280</v>
      </c>
      <c r="F30" s="3" t="s">
        <v>264</v>
      </c>
      <c r="G30" s="3" t="s">
        <v>168</v>
      </c>
    </row>
    <row r="31" spans="1:7" x14ac:dyDescent="0.25">
      <c r="A31" s="4">
        <v>22</v>
      </c>
      <c r="B31" s="3" t="s">
        <v>1054</v>
      </c>
      <c r="C31" s="3" t="s">
        <v>283</v>
      </c>
      <c r="D31" s="3" t="s">
        <v>284</v>
      </c>
      <c r="E31" s="3" t="s">
        <v>285</v>
      </c>
      <c r="F31" s="3" t="s">
        <v>264</v>
      </c>
      <c r="G31" s="3" t="s">
        <v>168</v>
      </c>
    </row>
    <row r="32" spans="1:7" x14ac:dyDescent="0.25">
      <c r="A32" s="4">
        <v>23</v>
      </c>
      <c r="C32" s="3" t="s">
        <v>286</v>
      </c>
      <c r="D32" s="3" t="s">
        <v>287</v>
      </c>
      <c r="F32" s="3" t="s">
        <v>264</v>
      </c>
      <c r="G32" s="3" t="s">
        <v>168</v>
      </c>
    </row>
    <row r="33" spans="1:7" x14ac:dyDescent="0.25">
      <c r="A33" s="4">
        <v>24</v>
      </c>
      <c r="B33" s="3" t="s">
        <v>1567</v>
      </c>
      <c r="C33" s="3" t="s">
        <v>288</v>
      </c>
      <c r="D33" s="3" t="s">
        <v>1532</v>
      </c>
      <c r="E33" s="3" t="s">
        <v>290</v>
      </c>
      <c r="F33" s="3" t="s">
        <v>289</v>
      </c>
      <c r="G33" s="3" t="s">
        <v>168</v>
      </c>
    </row>
    <row r="34" spans="1:7" x14ac:dyDescent="0.25">
      <c r="A34" s="4">
        <v>25</v>
      </c>
      <c r="C34" s="3" t="s">
        <v>291</v>
      </c>
      <c r="D34" s="3" t="s">
        <v>292</v>
      </c>
      <c r="F34" s="3" t="s">
        <v>289</v>
      </c>
      <c r="G34" s="3" t="s">
        <v>168</v>
      </c>
    </row>
    <row r="35" spans="1:7" x14ac:dyDescent="0.25">
      <c r="A35" s="4">
        <v>26</v>
      </c>
      <c r="B35" s="3" t="s">
        <v>1567</v>
      </c>
      <c r="C35" s="3" t="s">
        <v>293</v>
      </c>
      <c r="D35" s="3" t="s">
        <v>294</v>
      </c>
      <c r="E35" s="3" t="s">
        <v>295</v>
      </c>
      <c r="F35" s="3" t="s">
        <v>289</v>
      </c>
      <c r="G35" s="3" t="s">
        <v>168</v>
      </c>
    </row>
    <row r="36" spans="1:7" x14ac:dyDescent="0.25">
      <c r="A36" s="4">
        <v>27</v>
      </c>
      <c r="C36" s="3" t="s">
        <v>296</v>
      </c>
      <c r="D36" s="3" t="s">
        <v>297</v>
      </c>
      <c r="F36" s="3" t="s">
        <v>289</v>
      </c>
      <c r="G36" s="3" t="s">
        <v>168</v>
      </c>
    </row>
    <row r="37" spans="1:7" x14ac:dyDescent="0.25">
      <c r="A37" s="4">
        <v>28</v>
      </c>
      <c r="B37" s="3" t="s">
        <v>1567</v>
      </c>
      <c r="C37" s="3" t="s">
        <v>298</v>
      </c>
      <c r="D37" s="3" t="s">
        <v>1137</v>
      </c>
      <c r="E37" s="3" t="s">
        <v>295</v>
      </c>
      <c r="F37" s="3" t="s">
        <v>289</v>
      </c>
      <c r="G37" s="3" t="s">
        <v>168</v>
      </c>
    </row>
    <row r="38" spans="1:7" x14ac:dyDescent="0.25">
      <c r="A38" s="4">
        <v>29</v>
      </c>
      <c r="B38" s="3" t="s">
        <v>1057</v>
      </c>
      <c r="C38" s="3" t="s">
        <v>1533</v>
      </c>
      <c r="D38" s="3" t="s">
        <v>1534</v>
      </c>
      <c r="E38" s="3" t="s">
        <v>299</v>
      </c>
      <c r="F38" s="3" t="s">
        <v>289</v>
      </c>
      <c r="G38" s="3" t="s">
        <v>168</v>
      </c>
    </row>
    <row r="39" spans="1:7" x14ac:dyDescent="0.25">
      <c r="A39" s="4">
        <v>30</v>
      </c>
      <c r="B39" s="3" t="s">
        <v>1057</v>
      </c>
      <c r="C39" s="3" t="s">
        <v>300</v>
      </c>
      <c r="D39" s="3" t="s">
        <v>301</v>
      </c>
      <c r="E39" s="3" t="s">
        <v>302</v>
      </c>
      <c r="F39" s="3" t="s">
        <v>289</v>
      </c>
      <c r="G39" s="3" t="s">
        <v>168</v>
      </c>
    </row>
    <row r="40" spans="1:7" x14ac:dyDescent="0.25">
      <c r="A40" s="4">
        <v>31</v>
      </c>
      <c r="B40" s="3" t="s">
        <v>1057</v>
      </c>
      <c r="C40" s="3" t="s">
        <v>1535</v>
      </c>
      <c r="D40" s="3" t="s">
        <v>1536</v>
      </c>
      <c r="E40" s="3" t="s">
        <v>1537</v>
      </c>
      <c r="F40" s="3" t="s">
        <v>289</v>
      </c>
      <c r="G40" s="3" t="s">
        <v>168</v>
      </c>
    </row>
    <row r="41" spans="1:7" x14ac:dyDescent="0.25">
      <c r="A41" s="4">
        <v>32</v>
      </c>
      <c r="B41" s="3" t="s">
        <v>1057</v>
      </c>
      <c r="C41" s="3" t="s">
        <v>1538</v>
      </c>
      <c r="D41" s="3" t="s">
        <v>1539</v>
      </c>
      <c r="F41" s="3" t="s">
        <v>289</v>
      </c>
      <c r="G41" s="3" t="s">
        <v>168</v>
      </c>
    </row>
    <row r="42" spans="1:7" x14ac:dyDescent="0.25">
      <c r="A42" s="4">
        <v>33</v>
      </c>
      <c r="B42" s="3" t="s">
        <v>1057</v>
      </c>
      <c r="C42" s="3" t="s">
        <v>1540</v>
      </c>
      <c r="D42" s="3" t="s">
        <v>1541</v>
      </c>
      <c r="F42" s="3" t="s">
        <v>289</v>
      </c>
      <c r="G42" s="3" t="s">
        <v>168</v>
      </c>
    </row>
    <row r="43" spans="1:7" x14ac:dyDescent="0.25">
      <c r="A43" s="4">
        <v>34</v>
      </c>
      <c r="B43" s="3" t="s">
        <v>1057</v>
      </c>
      <c r="C43" s="3" t="s">
        <v>1542</v>
      </c>
      <c r="D43" s="3" t="s">
        <v>1543</v>
      </c>
      <c r="F43" s="3" t="s">
        <v>289</v>
      </c>
      <c r="G43" s="3" t="s">
        <v>168</v>
      </c>
    </row>
    <row r="44" spans="1:7" x14ac:dyDescent="0.25">
      <c r="A44" s="4">
        <v>35</v>
      </c>
      <c r="B44" s="3" t="s">
        <v>1057</v>
      </c>
      <c r="C44" s="3" t="s">
        <v>1544</v>
      </c>
      <c r="D44" s="3" t="s">
        <v>1545</v>
      </c>
      <c r="F44" s="3" t="s">
        <v>289</v>
      </c>
      <c r="G44" s="3" t="s">
        <v>168</v>
      </c>
    </row>
    <row r="45" spans="1:7" x14ac:dyDescent="0.25">
      <c r="A45" s="4">
        <v>36</v>
      </c>
      <c r="B45" s="3" t="s">
        <v>1057</v>
      </c>
      <c r="C45" s="3" t="s">
        <v>1546</v>
      </c>
      <c r="D45" s="3" t="s">
        <v>1547</v>
      </c>
      <c r="F45" s="3" t="s">
        <v>289</v>
      </c>
      <c r="G45" s="3" t="s">
        <v>168</v>
      </c>
    </row>
    <row r="46" spans="1:7" x14ac:dyDescent="0.25">
      <c r="A46" s="4">
        <v>37</v>
      </c>
      <c r="B46" s="3" t="s">
        <v>1057</v>
      </c>
      <c r="C46" s="3" t="s">
        <v>1548</v>
      </c>
      <c r="D46" s="3" t="s">
        <v>1549</v>
      </c>
      <c r="F46" s="3" t="s">
        <v>289</v>
      </c>
      <c r="G46" s="3" t="s">
        <v>168</v>
      </c>
    </row>
    <row r="47" spans="1:7" x14ac:dyDescent="0.25">
      <c r="A47" s="4">
        <v>38</v>
      </c>
      <c r="C47" s="3" t="s">
        <v>303</v>
      </c>
      <c r="D47" s="3" t="s">
        <v>304</v>
      </c>
      <c r="F47" s="3" t="s">
        <v>305</v>
      </c>
      <c r="G47" s="3" t="s">
        <v>168</v>
      </c>
    </row>
    <row r="48" spans="1:7" x14ac:dyDescent="0.25">
      <c r="A48" s="4">
        <v>39</v>
      </c>
      <c r="C48" s="3" t="s">
        <v>306</v>
      </c>
      <c r="D48" s="3" t="s">
        <v>307</v>
      </c>
      <c r="F48" s="3" t="s">
        <v>305</v>
      </c>
      <c r="G48" s="3" t="s">
        <v>168</v>
      </c>
    </row>
    <row r="49" spans="1:7" x14ac:dyDescent="0.25">
      <c r="A49" s="4">
        <v>40</v>
      </c>
      <c r="C49" s="3" t="s">
        <v>308</v>
      </c>
      <c r="D49" s="3" t="s">
        <v>309</v>
      </c>
      <c r="F49" s="3" t="s">
        <v>305</v>
      </c>
      <c r="G49" s="3" t="s">
        <v>168</v>
      </c>
    </row>
    <row r="50" spans="1:7" x14ac:dyDescent="0.25">
      <c r="A50" s="4">
        <v>41</v>
      </c>
      <c r="C50" s="3" t="s">
        <v>310</v>
      </c>
      <c r="D50" s="3" t="s">
        <v>311</v>
      </c>
      <c r="F50" s="3" t="s">
        <v>305</v>
      </c>
      <c r="G50" s="3" t="s">
        <v>168</v>
      </c>
    </row>
    <row r="51" spans="1:7" x14ac:dyDescent="0.25">
      <c r="A51" s="4">
        <v>42</v>
      </c>
      <c r="C51" s="3" t="s">
        <v>312</v>
      </c>
      <c r="D51" s="3" t="s">
        <v>313</v>
      </c>
      <c r="F51" s="3" t="s">
        <v>305</v>
      </c>
      <c r="G51" s="3" t="s">
        <v>168</v>
      </c>
    </row>
    <row r="52" spans="1:7" x14ac:dyDescent="0.25">
      <c r="A52" s="4">
        <v>43</v>
      </c>
      <c r="C52" s="3" t="s">
        <v>314</v>
      </c>
      <c r="D52" s="3" t="s">
        <v>315</v>
      </c>
      <c r="F52" s="3" t="s">
        <v>305</v>
      </c>
      <c r="G52" s="3" t="s">
        <v>168</v>
      </c>
    </row>
    <row r="53" spans="1:7" x14ac:dyDescent="0.25">
      <c r="A53" s="4">
        <v>44</v>
      </c>
      <c r="C53" s="3" t="s">
        <v>316</v>
      </c>
      <c r="D53" s="3" t="s">
        <v>317</v>
      </c>
      <c r="F53" s="3" t="s">
        <v>305</v>
      </c>
      <c r="G53" s="3" t="s">
        <v>168</v>
      </c>
    </row>
    <row r="54" spans="1:7" x14ac:dyDescent="0.25">
      <c r="A54" s="4">
        <v>45</v>
      </c>
      <c r="C54" s="3" t="s">
        <v>318</v>
      </c>
      <c r="D54" s="3" t="s">
        <v>319</v>
      </c>
      <c r="F54" s="3" t="s">
        <v>305</v>
      </c>
      <c r="G54" s="3" t="s">
        <v>168</v>
      </c>
    </row>
    <row r="55" spans="1:7" x14ac:dyDescent="0.25">
      <c r="A55" s="4">
        <v>46</v>
      </c>
      <c r="C55" s="3" t="s">
        <v>320</v>
      </c>
      <c r="D55" s="3" t="s">
        <v>321</v>
      </c>
      <c r="F55" s="3" t="s">
        <v>305</v>
      </c>
      <c r="G55" s="3" t="s">
        <v>168</v>
      </c>
    </row>
    <row r="56" spans="1:7" x14ac:dyDescent="0.25">
      <c r="A56" s="4">
        <v>47</v>
      </c>
      <c r="C56" s="3" t="s">
        <v>322</v>
      </c>
      <c r="D56" s="3" t="s">
        <v>323</v>
      </c>
      <c r="F56" s="3" t="s">
        <v>305</v>
      </c>
      <c r="G56" s="3" t="s">
        <v>168</v>
      </c>
    </row>
    <row r="57" spans="1:7" x14ac:dyDescent="0.25">
      <c r="A57" s="4">
        <v>48</v>
      </c>
      <c r="C57" s="3" t="s">
        <v>324</v>
      </c>
      <c r="D57" s="3" t="s">
        <v>325</v>
      </c>
      <c r="F57" s="3" t="s">
        <v>305</v>
      </c>
      <c r="G57" s="3" t="s">
        <v>168</v>
      </c>
    </row>
    <row r="58" spans="1:7" x14ac:dyDescent="0.25">
      <c r="A58" s="4">
        <v>49</v>
      </c>
      <c r="C58" s="3" t="s">
        <v>326</v>
      </c>
      <c r="D58" s="3" t="s">
        <v>327</v>
      </c>
      <c r="F58" s="3" t="s">
        <v>305</v>
      </c>
      <c r="G58" s="3" t="s">
        <v>168</v>
      </c>
    </row>
    <row r="59" spans="1:7" x14ac:dyDescent="0.25">
      <c r="A59" s="4">
        <v>50</v>
      </c>
      <c r="C59" s="3" t="s">
        <v>328</v>
      </c>
      <c r="D59" s="3" t="s">
        <v>329</v>
      </c>
      <c r="F59" s="3" t="s">
        <v>305</v>
      </c>
      <c r="G59" s="3" t="s">
        <v>168</v>
      </c>
    </row>
    <row r="60" spans="1:7" x14ac:dyDescent="0.25">
      <c r="A60" s="4">
        <v>51</v>
      </c>
      <c r="C60" s="3" t="s">
        <v>330</v>
      </c>
      <c r="D60" s="3" t="s">
        <v>331</v>
      </c>
      <c r="F60" s="3" t="s">
        <v>305</v>
      </c>
      <c r="G60" s="3" t="s">
        <v>168</v>
      </c>
    </row>
    <row r="61" spans="1:7" x14ac:dyDescent="0.25">
      <c r="A61" s="4">
        <v>52</v>
      </c>
      <c r="C61" s="3" t="s">
        <v>332</v>
      </c>
      <c r="D61" s="3" t="s">
        <v>333</v>
      </c>
      <c r="F61" s="3" t="s">
        <v>305</v>
      </c>
      <c r="G61" s="3" t="s">
        <v>168</v>
      </c>
    </row>
    <row r="62" spans="1:7" x14ac:dyDescent="0.25">
      <c r="A62" s="4">
        <v>53</v>
      </c>
      <c r="C62" s="3" t="s">
        <v>334</v>
      </c>
      <c r="D62" s="3" t="s">
        <v>335</v>
      </c>
      <c r="E62" s="3" t="s">
        <v>337</v>
      </c>
      <c r="F62" s="3" t="s">
        <v>336</v>
      </c>
      <c r="G62" s="3" t="s">
        <v>168</v>
      </c>
    </row>
    <row r="63" spans="1:7" x14ac:dyDescent="0.25">
      <c r="A63" s="4">
        <v>54</v>
      </c>
      <c r="C63" s="3" t="s">
        <v>338</v>
      </c>
      <c r="D63" s="3" t="s">
        <v>339</v>
      </c>
      <c r="E63" s="3" t="s">
        <v>340</v>
      </c>
      <c r="F63" s="3" t="s">
        <v>336</v>
      </c>
      <c r="G63" s="3" t="s">
        <v>168</v>
      </c>
    </row>
    <row r="64" spans="1:7" x14ac:dyDescent="0.25">
      <c r="A64" s="4">
        <v>55</v>
      </c>
      <c r="C64" s="3" t="s">
        <v>341</v>
      </c>
      <c r="D64" s="3" t="s">
        <v>342</v>
      </c>
      <c r="F64" s="3" t="s">
        <v>336</v>
      </c>
      <c r="G64" s="3" t="s">
        <v>168</v>
      </c>
    </row>
    <row r="65" spans="1:7" x14ac:dyDescent="0.25">
      <c r="A65" s="4">
        <v>56</v>
      </c>
      <c r="C65" s="3" t="s">
        <v>343</v>
      </c>
      <c r="D65" s="3" t="s">
        <v>344</v>
      </c>
      <c r="F65" s="3" t="s">
        <v>336</v>
      </c>
      <c r="G65" s="3" t="s">
        <v>168</v>
      </c>
    </row>
    <row r="66" spans="1:7" x14ac:dyDescent="0.25">
      <c r="A66" s="4">
        <v>57</v>
      </c>
      <c r="C66" s="3" t="s">
        <v>345</v>
      </c>
      <c r="D66" s="3" t="s">
        <v>346</v>
      </c>
      <c r="F66" s="3" t="s">
        <v>336</v>
      </c>
      <c r="G66" s="3" t="s">
        <v>168</v>
      </c>
    </row>
    <row r="67" spans="1:7" x14ac:dyDescent="0.25">
      <c r="A67" s="4">
        <v>58</v>
      </c>
      <c r="B67" s="3" t="s">
        <v>1058</v>
      </c>
      <c r="C67" s="3" t="s">
        <v>1017</v>
      </c>
      <c r="D67" s="3" t="s">
        <v>1018</v>
      </c>
      <c r="E67" s="3" t="s">
        <v>347</v>
      </c>
      <c r="F67" s="3" t="s">
        <v>336</v>
      </c>
      <c r="G67" s="3" t="s">
        <v>168</v>
      </c>
    </row>
    <row r="68" spans="1:7" x14ac:dyDescent="0.25">
      <c r="A68" s="4">
        <v>59</v>
      </c>
      <c r="B68" s="3" t="s">
        <v>1058</v>
      </c>
      <c r="C68" s="3" t="s">
        <v>1019</v>
      </c>
      <c r="D68" s="3" t="s">
        <v>1020</v>
      </c>
      <c r="E68" s="3" t="s">
        <v>1021</v>
      </c>
      <c r="F68" s="3" t="s">
        <v>336</v>
      </c>
      <c r="G68" s="3" t="s">
        <v>168</v>
      </c>
    </row>
    <row r="69" spans="1:7" x14ac:dyDescent="0.25">
      <c r="A69" s="4">
        <v>60</v>
      </c>
      <c r="B69" s="3" t="s">
        <v>1058</v>
      </c>
      <c r="C69" s="3" t="s">
        <v>1022</v>
      </c>
      <c r="D69" s="3" t="s">
        <v>1023</v>
      </c>
      <c r="E69" s="3" t="s">
        <v>1024</v>
      </c>
      <c r="F69" s="3" t="s">
        <v>336</v>
      </c>
      <c r="G69" s="3" t="s">
        <v>168</v>
      </c>
    </row>
    <row r="70" spans="1:7" x14ac:dyDescent="0.25">
      <c r="A70" s="4">
        <v>61</v>
      </c>
      <c r="C70" s="3" t="s">
        <v>1025</v>
      </c>
      <c r="D70" s="3" t="s">
        <v>1026</v>
      </c>
      <c r="E70" s="3" t="s">
        <v>1201</v>
      </c>
      <c r="F70" s="3" t="s">
        <v>336</v>
      </c>
      <c r="G70" s="3" t="s">
        <v>168</v>
      </c>
    </row>
    <row r="71" spans="1:7" x14ac:dyDescent="0.25">
      <c r="A71" s="4">
        <v>62</v>
      </c>
      <c r="B71" s="3" t="s">
        <v>1054</v>
      </c>
      <c r="C71" s="3" t="s">
        <v>348</v>
      </c>
      <c r="D71" s="3" t="s">
        <v>349</v>
      </c>
      <c r="E71" s="3" t="s">
        <v>350</v>
      </c>
      <c r="F71" s="3" t="s">
        <v>336</v>
      </c>
      <c r="G71" s="3" t="s">
        <v>168</v>
      </c>
    </row>
    <row r="72" spans="1:7" x14ac:dyDescent="0.25">
      <c r="A72" s="4">
        <v>63</v>
      </c>
      <c r="C72" s="3" t="s">
        <v>351</v>
      </c>
      <c r="D72" s="3" t="s">
        <v>352</v>
      </c>
      <c r="F72" s="3" t="s">
        <v>336</v>
      </c>
      <c r="G72" s="3" t="s">
        <v>168</v>
      </c>
    </row>
    <row r="73" spans="1:7" x14ac:dyDescent="0.25">
      <c r="A73" s="4">
        <v>64</v>
      </c>
      <c r="C73" s="3" t="s">
        <v>353</v>
      </c>
      <c r="D73" s="3" t="s">
        <v>354</v>
      </c>
      <c r="F73" s="3" t="s">
        <v>336</v>
      </c>
      <c r="G73" s="3" t="s">
        <v>168</v>
      </c>
    </row>
    <row r="74" spans="1:7" x14ac:dyDescent="0.25">
      <c r="A74" s="4">
        <v>65</v>
      </c>
      <c r="C74" s="3" t="s">
        <v>355</v>
      </c>
      <c r="D74" s="3" t="s">
        <v>356</v>
      </c>
      <c r="E74" s="3" t="s">
        <v>357</v>
      </c>
      <c r="F74" s="3" t="s">
        <v>336</v>
      </c>
      <c r="G74" s="3" t="s">
        <v>168</v>
      </c>
    </row>
    <row r="75" spans="1:7" x14ac:dyDescent="0.25">
      <c r="A75" s="4">
        <v>66</v>
      </c>
      <c r="C75" s="3" t="s">
        <v>358</v>
      </c>
      <c r="D75" s="3" t="s">
        <v>359</v>
      </c>
      <c r="F75" s="3" t="s">
        <v>336</v>
      </c>
      <c r="G75" s="3" t="s">
        <v>168</v>
      </c>
    </row>
    <row r="76" spans="1:7" x14ac:dyDescent="0.25">
      <c r="A76" s="4">
        <v>67</v>
      </c>
      <c r="C76" s="3" t="s">
        <v>360</v>
      </c>
      <c r="D76" s="3" t="s">
        <v>361</v>
      </c>
      <c r="F76" s="3" t="s">
        <v>336</v>
      </c>
      <c r="G76" s="3" t="s">
        <v>168</v>
      </c>
    </row>
    <row r="77" spans="1:7" x14ac:dyDescent="0.25">
      <c r="A77" s="4">
        <v>68</v>
      </c>
      <c r="C77" s="3" t="s">
        <v>362</v>
      </c>
      <c r="D77" s="3" t="s">
        <v>363</v>
      </c>
      <c r="E77" s="3" t="s">
        <v>364</v>
      </c>
      <c r="F77" s="3" t="s">
        <v>336</v>
      </c>
      <c r="G77" s="3" t="s">
        <v>168</v>
      </c>
    </row>
    <row r="78" spans="1:7" x14ac:dyDescent="0.25">
      <c r="A78" s="4">
        <v>69</v>
      </c>
      <c r="C78" s="3" t="s">
        <v>365</v>
      </c>
      <c r="D78" s="3" t="s">
        <v>366</v>
      </c>
      <c r="F78" s="3" t="s">
        <v>336</v>
      </c>
      <c r="G78" s="3" t="s">
        <v>168</v>
      </c>
    </row>
    <row r="79" spans="1:7" x14ac:dyDescent="0.25">
      <c r="A79" s="4">
        <v>70</v>
      </c>
      <c r="C79" s="3" t="s">
        <v>367</v>
      </c>
      <c r="D79" s="3" t="s">
        <v>368</v>
      </c>
      <c r="E79" s="3" t="s">
        <v>369</v>
      </c>
      <c r="F79" s="3" t="s">
        <v>336</v>
      </c>
      <c r="G79" s="3" t="s">
        <v>168</v>
      </c>
    </row>
    <row r="80" spans="1:7" x14ac:dyDescent="0.25">
      <c r="A80" s="4">
        <v>71</v>
      </c>
      <c r="C80" s="3" t="s">
        <v>370</v>
      </c>
      <c r="D80" s="3" t="s">
        <v>371</v>
      </c>
      <c r="E80" s="3" t="s">
        <v>372</v>
      </c>
      <c r="F80" s="3" t="s">
        <v>336</v>
      </c>
      <c r="G80" s="3" t="s">
        <v>168</v>
      </c>
    </row>
    <row r="81" spans="1:7" x14ac:dyDescent="0.25">
      <c r="A81" s="4">
        <v>72</v>
      </c>
      <c r="C81" s="3" t="s">
        <v>373</v>
      </c>
      <c r="D81" s="3" t="s">
        <v>374</v>
      </c>
      <c r="E81" s="3" t="s">
        <v>375</v>
      </c>
      <c r="F81" s="3" t="s">
        <v>336</v>
      </c>
      <c r="G81" s="3" t="s">
        <v>168</v>
      </c>
    </row>
    <row r="82" spans="1:7" x14ac:dyDescent="0.25">
      <c r="A82" s="4">
        <v>73</v>
      </c>
      <c r="C82" s="3" t="s">
        <v>376</v>
      </c>
      <c r="D82" s="3" t="s">
        <v>377</v>
      </c>
      <c r="E82" s="3" t="s">
        <v>378</v>
      </c>
      <c r="F82" s="3" t="s">
        <v>336</v>
      </c>
      <c r="G82" s="3" t="s">
        <v>168</v>
      </c>
    </row>
    <row r="83" spans="1:7" x14ac:dyDescent="0.25">
      <c r="A83" s="4">
        <v>74</v>
      </c>
      <c r="C83" s="3" t="s">
        <v>379</v>
      </c>
      <c r="D83" s="3" t="s">
        <v>380</v>
      </c>
      <c r="E83" s="3" t="s">
        <v>381</v>
      </c>
      <c r="F83" s="3" t="s">
        <v>336</v>
      </c>
      <c r="G83" s="3" t="s">
        <v>168</v>
      </c>
    </row>
    <row r="84" spans="1:7" x14ac:dyDescent="0.25">
      <c r="A84" s="4">
        <v>75</v>
      </c>
      <c r="B84" s="3" t="s">
        <v>1054</v>
      </c>
      <c r="C84" s="3" t="s">
        <v>382</v>
      </c>
      <c r="D84" s="3" t="s">
        <v>383</v>
      </c>
      <c r="E84" s="3" t="s">
        <v>384</v>
      </c>
      <c r="F84" s="3" t="s">
        <v>336</v>
      </c>
      <c r="G84" s="3" t="s">
        <v>168</v>
      </c>
    </row>
    <row r="85" spans="1:7" x14ac:dyDescent="0.25">
      <c r="A85" s="4">
        <v>76</v>
      </c>
      <c r="C85" s="3" t="s">
        <v>385</v>
      </c>
      <c r="D85" s="3" t="s">
        <v>386</v>
      </c>
      <c r="F85" s="3" t="s">
        <v>336</v>
      </c>
      <c r="G85" s="3" t="s">
        <v>168</v>
      </c>
    </row>
    <row r="86" spans="1:7" x14ac:dyDescent="0.25">
      <c r="A86" s="4">
        <v>77</v>
      </c>
      <c r="C86" s="3" t="s">
        <v>387</v>
      </c>
      <c r="D86" s="3" t="s">
        <v>388</v>
      </c>
      <c r="F86" s="3" t="s">
        <v>336</v>
      </c>
      <c r="G86" s="3" t="s">
        <v>168</v>
      </c>
    </row>
    <row r="87" spans="1:7" x14ac:dyDescent="0.25">
      <c r="A87" s="4">
        <v>78</v>
      </c>
      <c r="C87" s="3" t="s">
        <v>389</v>
      </c>
      <c r="D87" s="3" t="s">
        <v>390</v>
      </c>
      <c r="E87" s="3" t="s">
        <v>391</v>
      </c>
      <c r="F87" s="3" t="s">
        <v>336</v>
      </c>
      <c r="G87" s="3" t="s">
        <v>168</v>
      </c>
    </row>
    <row r="88" spans="1:7" x14ac:dyDescent="0.25">
      <c r="A88" s="4">
        <v>79</v>
      </c>
      <c r="C88" s="3" t="s">
        <v>392</v>
      </c>
      <c r="D88" s="3" t="s">
        <v>393</v>
      </c>
      <c r="F88" s="3" t="s">
        <v>336</v>
      </c>
      <c r="G88" s="3" t="s">
        <v>168</v>
      </c>
    </row>
    <row r="89" spans="1:7" x14ac:dyDescent="0.25">
      <c r="A89" s="4">
        <v>80</v>
      </c>
      <c r="C89" s="3" t="s">
        <v>394</v>
      </c>
      <c r="D89" s="3" t="s">
        <v>395</v>
      </c>
      <c r="F89" s="3" t="s">
        <v>336</v>
      </c>
      <c r="G89" s="3" t="s">
        <v>168</v>
      </c>
    </row>
    <row r="90" spans="1:7" x14ac:dyDescent="0.25">
      <c r="A90" s="4">
        <v>81</v>
      </c>
      <c r="C90" s="3" t="s">
        <v>396</v>
      </c>
      <c r="D90" s="3" t="s">
        <v>397</v>
      </c>
      <c r="E90" s="3" t="s">
        <v>398</v>
      </c>
      <c r="F90" s="3" t="s">
        <v>336</v>
      </c>
      <c r="G90" s="3" t="s">
        <v>168</v>
      </c>
    </row>
    <row r="91" spans="1:7" x14ac:dyDescent="0.25">
      <c r="A91" s="4">
        <v>82</v>
      </c>
      <c r="C91" s="3" t="s">
        <v>399</v>
      </c>
      <c r="D91" s="3" t="s">
        <v>400</v>
      </c>
      <c r="E91" s="3" t="s">
        <v>401</v>
      </c>
      <c r="F91" s="3" t="s">
        <v>336</v>
      </c>
      <c r="G91" s="3" t="s">
        <v>168</v>
      </c>
    </row>
    <row r="92" spans="1:7" x14ac:dyDescent="0.25">
      <c r="A92" s="4">
        <v>83</v>
      </c>
      <c r="C92" s="3" t="s">
        <v>402</v>
      </c>
      <c r="D92" s="3" t="s">
        <v>403</v>
      </c>
      <c r="E92" s="3" t="s">
        <v>404</v>
      </c>
      <c r="F92" s="3" t="s">
        <v>336</v>
      </c>
      <c r="G92" s="3" t="s">
        <v>168</v>
      </c>
    </row>
    <row r="93" spans="1:7" x14ac:dyDescent="0.25">
      <c r="A93" s="4">
        <v>84</v>
      </c>
      <c r="C93" s="3" t="s">
        <v>405</v>
      </c>
      <c r="D93" s="3" t="s">
        <v>406</v>
      </c>
      <c r="E93" s="3" t="s">
        <v>407</v>
      </c>
      <c r="F93" s="3" t="s">
        <v>336</v>
      </c>
      <c r="G93" s="3" t="s">
        <v>168</v>
      </c>
    </row>
    <row r="94" spans="1:7" x14ac:dyDescent="0.25">
      <c r="A94" s="4">
        <v>85</v>
      </c>
      <c r="C94" s="3" t="s">
        <v>408</v>
      </c>
      <c r="D94" s="3" t="s">
        <v>409</v>
      </c>
      <c r="F94" s="3" t="s">
        <v>336</v>
      </c>
      <c r="G94" s="3" t="s">
        <v>168</v>
      </c>
    </row>
    <row r="95" spans="1:7" x14ac:dyDescent="0.25">
      <c r="A95" s="4">
        <v>86</v>
      </c>
      <c r="C95" s="3" t="s">
        <v>410</v>
      </c>
      <c r="D95" s="3" t="s">
        <v>411</v>
      </c>
      <c r="F95" s="3" t="s">
        <v>336</v>
      </c>
      <c r="G95" s="3" t="s">
        <v>168</v>
      </c>
    </row>
    <row r="96" spans="1:7" x14ac:dyDescent="0.25">
      <c r="A96" s="4">
        <v>87</v>
      </c>
      <c r="C96" s="3" t="s">
        <v>412</v>
      </c>
      <c r="D96" s="3" t="s">
        <v>413</v>
      </c>
      <c r="E96" s="3" t="s">
        <v>1048</v>
      </c>
      <c r="F96" s="3" t="s">
        <v>336</v>
      </c>
      <c r="G96" s="3" t="s">
        <v>168</v>
      </c>
    </row>
    <row r="97" spans="1:7" x14ac:dyDescent="0.25">
      <c r="A97" s="4">
        <v>88</v>
      </c>
      <c r="B97" s="3" t="s">
        <v>1058</v>
      </c>
      <c r="C97" s="3" t="s">
        <v>414</v>
      </c>
      <c r="D97" s="3" t="s">
        <v>415</v>
      </c>
      <c r="E97" s="3" t="s">
        <v>416</v>
      </c>
      <c r="F97" s="3" t="s">
        <v>336</v>
      </c>
      <c r="G97" s="3" t="s">
        <v>168</v>
      </c>
    </row>
    <row r="98" spans="1:7" x14ac:dyDescent="0.25">
      <c r="A98" s="4">
        <v>89</v>
      </c>
      <c r="C98" s="3" t="s">
        <v>417</v>
      </c>
      <c r="D98" s="3" t="s">
        <v>418</v>
      </c>
      <c r="F98" s="3" t="s">
        <v>336</v>
      </c>
      <c r="G98" s="3" t="s">
        <v>168</v>
      </c>
    </row>
    <row r="99" spans="1:7" x14ac:dyDescent="0.25">
      <c r="A99" s="4">
        <v>90</v>
      </c>
      <c r="C99" s="3" t="s">
        <v>419</v>
      </c>
      <c r="D99" s="3" t="s">
        <v>420</v>
      </c>
      <c r="F99" s="3" t="s">
        <v>336</v>
      </c>
      <c r="G99" s="3" t="s">
        <v>168</v>
      </c>
    </row>
    <row r="100" spans="1:7" x14ac:dyDescent="0.25">
      <c r="A100" s="4">
        <v>91</v>
      </c>
      <c r="C100" s="3" t="s">
        <v>421</v>
      </c>
      <c r="D100" s="3" t="s">
        <v>422</v>
      </c>
      <c r="F100" s="3" t="s">
        <v>336</v>
      </c>
      <c r="G100" s="3" t="s">
        <v>168</v>
      </c>
    </row>
    <row r="101" spans="1:7" x14ac:dyDescent="0.25">
      <c r="A101" s="4">
        <v>92</v>
      </c>
      <c r="C101" s="3" t="s">
        <v>423</v>
      </c>
      <c r="D101" s="3" t="s">
        <v>424</v>
      </c>
      <c r="F101" s="3" t="s">
        <v>336</v>
      </c>
      <c r="G101" s="3" t="s">
        <v>168</v>
      </c>
    </row>
    <row r="102" spans="1:7" x14ac:dyDescent="0.25">
      <c r="A102" s="4">
        <v>93</v>
      </c>
      <c r="C102" s="3" t="s">
        <v>425</v>
      </c>
      <c r="D102" s="3" t="s">
        <v>426</v>
      </c>
      <c r="F102" s="3" t="s">
        <v>336</v>
      </c>
      <c r="G102" s="3" t="s">
        <v>168</v>
      </c>
    </row>
    <row r="103" spans="1:7" x14ac:dyDescent="0.25">
      <c r="A103" s="4">
        <v>94</v>
      </c>
      <c r="C103" s="3" t="s">
        <v>427</v>
      </c>
      <c r="D103" s="3" t="s">
        <v>428</v>
      </c>
      <c r="F103" s="3" t="s">
        <v>336</v>
      </c>
      <c r="G103" s="3" t="s">
        <v>168</v>
      </c>
    </row>
    <row r="104" spans="1:7" x14ac:dyDescent="0.25">
      <c r="A104" s="4">
        <v>95</v>
      </c>
      <c r="C104" s="3" t="s">
        <v>429</v>
      </c>
      <c r="D104" s="3" t="s">
        <v>430</v>
      </c>
      <c r="F104" s="3" t="s">
        <v>336</v>
      </c>
      <c r="G104" s="3" t="s">
        <v>168</v>
      </c>
    </row>
    <row r="105" spans="1:7" x14ac:dyDescent="0.25">
      <c r="A105" s="4">
        <v>96</v>
      </c>
      <c r="C105" s="3" t="s">
        <v>431</v>
      </c>
      <c r="D105" s="3" t="s">
        <v>432</v>
      </c>
      <c r="F105" s="3" t="s">
        <v>336</v>
      </c>
      <c r="G105" s="3" t="s">
        <v>168</v>
      </c>
    </row>
    <row r="106" spans="1:7" x14ac:dyDescent="0.25">
      <c r="A106" s="4">
        <v>97</v>
      </c>
      <c r="C106" s="3" t="s">
        <v>433</v>
      </c>
      <c r="D106" s="3" t="s">
        <v>434</v>
      </c>
      <c r="F106" s="3" t="s">
        <v>336</v>
      </c>
      <c r="G106" s="3" t="s">
        <v>168</v>
      </c>
    </row>
    <row r="107" spans="1:7" x14ac:dyDescent="0.25">
      <c r="A107" s="4">
        <v>98</v>
      </c>
      <c r="C107" s="3" t="s">
        <v>435</v>
      </c>
      <c r="D107" s="3" t="s">
        <v>436</v>
      </c>
      <c r="E107" s="3" t="s">
        <v>437</v>
      </c>
      <c r="F107" s="3" t="s">
        <v>336</v>
      </c>
      <c r="G107" s="3" t="s">
        <v>168</v>
      </c>
    </row>
    <row r="108" spans="1:7" x14ac:dyDescent="0.25">
      <c r="A108" s="4">
        <v>99</v>
      </c>
      <c r="C108" s="3" t="s">
        <v>438</v>
      </c>
      <c r="D108" s="3" t="s">
        <v>439</v>
      </c>
      <c r="F108" s="3" t="s">
        <v>336</v>
      </c>
      <c r="G108" s="3" t="s">
        <v>168</v>
      </c>
    </row>
    <row r="109" spans="1:7" x14ac:dyDescent="0.25">
      <c r="A109" s="4">
        <v>100</v>
      </c>
      <c r="C109" s="3" t="s">
        <v>440</v>
      </c>
      <c r="D109" s="3" t="s">
        <v>441</v>
      </c>
      <c r="E109" s="3" t="s">
        <v>442</v>
      </c>
      <c r="F109" s="3" t="s">
        <v>336</v>
      </c>
      <c r="G109" s="3" t="s">
        <v>168</v>
      </c>
    </row>
    <row r="110" spans="1:7" x14ac:dyDescent="0.25">
      <c r="A110" s="4">
        <v>101</v>
      </c>
      <c r="C110" s="3" t="s">
        <v>443</v>
      </c>
      <c r="D110" s="3" t="s">
        <v>444</v>
      </c>
      <c r="E110" s="3" t="s">
        <v>445</v>
      </c>
      <c r="F110" s="3" t="s">
        <v>336</v>
      </c>
      <c r="G110" s="3" t="s">
        <v>168</v>
      </c>
    </row>
    <row r="111" spans="1:7" x14ac:dyDescent="0.25">
      <c r="A111" s="4">
        <v>102</v>
      </c>
      <c r="C111" s="3" t="s">
        <v>446</v>
      </c>
      <c r="D111" s="3" t="s">
        <v>447</v>
      </c>
      <c r="F111" s="3" t="s">
        <v>336</v>
      </c>
      <c r="G111" s="3" t="s">
        <v>168</v>
      </c>
    </row>
    <row r="112" spans="1:7" x14ac:dyDescent="0.25">
      <c r="A112" s="4">
        <v>103</v>
      </c>
      <c r="C112" s="3" t="s">
        <v>448</v>
      </c>
      <c r="D112" s="3" t="s">
        <v>449</v>
      </c>
      <c r="F112" s="3" t="s">
        <v>336</v>
      </c>
      <c r="G112" s="3" t="s">
        <v>168</v>
      </c>
    </row>
    <row r="113" spans="1:7" x14ac:dyDescent="0.25">
      <c r="A113" s="4">
        <v>104</v>
      </c>
      <c r="C113" s="3" t="s">
        <v>450</v>
      </c>
      <c r="D113" s="3" t="s">
        <v>451</v>
      </c>
      <c r="F113" s="3" t="s">
        <v>336</v>
      </c>
      <c r="G113" s="3" t="s">
        <v>168</v>
      </c>
    </row>
    <row r="114" spans="1:7" x14ac:dyDescent="0.25">
      <c r="A114" s="4">
        <v>105</v>
      </c>
      <c r="C114" s="3" t="s">
        <v>452</v>
      </c>
      <c r="D114" s="3" t="s">
        <v>453</v>
      </c>
      <c r="F114" s="3" t="s">
        <v>336</v>
      </c>
      <c r="G114" s="3" t="s">
        <v>168</v>
      </c>
    </row>
    <row r="115" spans="1:7" x14ac:dyDescent="0.25">
      <c r="A115" s="4">
        <v>106</v>
      </c>
      <c r="C115" s="3" t="s">
        <v>454</v>
      </c>
      <c r="D115" s="3" t="s">
        <v>455</v>
      </c>
      <c r="F115" s="3" t="s">
        <v>336</v>
      </c>
      <c r="G115" s="3" t="s">
        <v>168</v>
      </c>
    </row>
    <row r="116" spans="1:7" x14ac:dyDescent="0.25">
      <c r="A116" s="4">
        <v>107</v>
      </c>
      <c r="C116" s="3" t="s">
        <v>456</v>
      </c>
      <c r="D116" s="3" t="s">
        <v>457</v>
      </c>
      <c r="F116" s="3" t="s">
        <v>336</v>
      </c>
      <c r="G116" s="3" t="s">
        <v>168</v>
      </c>
    </row>
    <row r="117" spans="1:7" x14ac:dyDescent="0.25">
      <c r="A117" s="4">
        <v>108</v>
      </c>
      <c r="C117" s="3" t="s">
        <v>458</v>
      </c>
      <c r="D117" s="3" t="s">
        <v>459</v>
      </c>
      <c r="F117" s="3" t="s">
        <v>336</v>
      </c>
      <c r="G117" s="3" t="s">
        <v>168</v>
      </c>
    </row>
    <row r="118" spans="1:7" x14ac:dyDescent="0.25">
      <c r="A118" s="4">
        <v>109</v>
      </c>
      <c r="C118" s="3" t="s">
        <v>460</v>
      </c>
      <c r="D118" s="3" t="s">
        <v>461</v>
      </c>
      <c r="E118" s="3" t="s">
        <v>1202</v>
      </c>
      <c r="F118" s="3" t="s">
        <v>336</v>
      </c>
      <c r="G118" s="3" t="s">
        <v>168</v>
      </c>
    </row>
    <row r="119" spans="1:7" x14ac:dyDescent="0.25">
      <c r="A119" s="4">
        <v>110</v>
      </c>
      <c r="C119" s="3" t="s">
        <v>462</v>
      </c>
      <c r="D119" s="3" t="s">
        <v>463</v>
      </c>
      <c r="E119" s="3" t="s">
        <v>464</v>
      </c>
      <c r="F119" s="3" t="s">
        <v>336</v>
      </c>
      <c r="G119" s="3" t="s">
        <v>168</v>
      </c>
    </row>
    <row r="120" spans="1:7" x14ac:dyDescent="0.25">
      <c r="A120" s="4">
        <v>111</v>
      </c>
      <c r="C120" s="3" t="s">
        <v>465</v>
      </c>
      <c r="D120" s="3" t="s">
        <v>466</v>
      </c>
      <c r="E120" s="3" t="s">
        <v>1203</v>
      </c>
      <c r="F120" s="3" t="s">
        <v>336</v>
      </c>
      <c r="G120" s="3" t="s">
        <v>168</v>
      </c>
    </row>
    <row r="121" spans="1:7" x14ac:dyDescent="0.25">
      <c r="A121" s="4">
        <v>112</v>
      </c>
      <c r="B121" s="3" t="s">
        <v>1054</v>
      </c>
      <c r="C121" s="3" t="s">
        <v>467</v>
      </c>
      <c r="D121" s="3" t="s">
        <v>468</v>
      </c>
      <c r="E121" s="3" t="s">
        <v>470</v>
      </c>
      <c r="F121" s="3" t="s">
        <v>469</v>
      </c>
      <c r="G121" s="3" t="s">
        <v>168</v>
      </c>
    </row>
    <row r="122" spans="1:7" x14ac:dyDescent="0.25">
      <c r="A122" s="4">
        <v>113</v>
      </c>
      <c r="B122" s="3" t="s">
        <v>1054</v>
      </c>
      <c r="C122" s="3" t="s">
        <v>471</v>
      </c>
      <c r="D122" s="3" t="s">
        <v>472</v>
      </c>
      <c r="E122" s="3" t="s">
        <v>470</v>
      </c>
      <c r="F122" s="3" t="s">
        <v>469</v>
      </c>
      <c r="G122" s="3" t="s">
        <v>168</v>
      </c>
    </row>
    <row r="123" spans="1:7" x14ac:dyDescent="0.25">
      <c r="A123" s="4">
        <v>114</v>
      </c>
      <c r="B123" s="3" t="s">
        <v>1054</v>
      </c>
      <c r="C123" s="3" t="s">
        <v>473</v>
      </c>
      <c r="D123" s="3" t="s">
        <v>474</v>
      </c>
      <c r="E123" s="3" t="s">
        <v>475</v>
      </c>
      <c r="F123" s="3" t="s">
        <v>469</v>
      </c>
      <c r="G123" s="3" t="s">
        <v>168</v>
      </c>
    </row>
    <row r="124" spans="1:7" x14ac:dyDescent="0.25">
      <c r="A124" s="4">
        <v>115</v>
      </c>
      <c r="B124" s="3" t="s">
        <v>1054</v>
      </c>
      <c r="C124" s="3" t="s">
        <v>476</v>
      </c>
      <c r="D124" s="3" t="s">
        <v>477</v>
      </c>
      <c r="E124" s="3" t="s">
        <v>478</v>
      </c>
      <c r="F124" s="3" t="s">
        <v>469</v>
      </c>
      <c r="G124" s="3" t="s">
        <v>168</v>
      </c>
    </row>
    <row r="125" spans="1:7" x14ac:dyDescent="0.25">
      <c r="A125" s="4">
        <v>116</v>
      </c>
      <c r="C125" s="3" t="s">
        <v>479</v>
      </c>
      <c r="D125" s="3" t="s">
        <v>480</v>
      </c>
      <c r="E125" s="3" t="s">
        <v>481</v>
      </c>
      <c r="F125" s="3" t="s">
        <v>469</v>
      </c>
      <c r="G125" s="3" t="s">
        <v>168</v>
      </c>
    </row>
    <row r="126" spans="1:7" x14ac:dyDescent="0.25">
      <c r="A126" s="4">
        <v>117</v>
      </c>
      <c r="C126" s="3" t="s">
        <v>482</v>
      </c>
      <c r="D126" s="3" t="s">
        <v>483</v>
      </c>
      <c r="E126" s="3" t="s">
        <v>484</v>
      </c>
      <c r="F126" s="3" t="s">
        <v>469</v>
      </c>
      <c r="G126" s="3" t="s">
        <v>168</v>
      </c>
    </row>
    <row r="127" spans="1:7" x14ac:dyDescent="0.25">
      <c r="A127" s="4">
        <v>118</v>
      </c>
      <c r="C127" s="3" t="s">
        <v>485</v>
      </c>
      <c r="D127" s="3" t="s">
        <v>486</v>
      </c>
      <c r="E127" s="3" t="s">
        <v>487</v>
      </c>
      <c r="F127" s="3" t="s">
        <v>469</v>
      </c>
      <c r="G127" s="3" t="s">
        <v>168</v>
      </c>
    </row>
    <row r="128" spans="1:7" x14ac:dyDescent="0.25">
      <c r="A128" s="4">
        <v>119</v>
      </c>
      <c r="B128" s="3" t="s">
        <v>1059</v>
      </c>
      <c r="C128" s="3" t="s">
        <v>488</v>
      </c>
      <c r="D128" s="3" t="s">
        <v>489</v>
      </c>
      <c r="E128" s="3" t="s">
        <v>491</v>
      </c>
      <c r="F128" s="3" t="s">
        <v>490</v>
      </c>
      <c r="G128" s="3" t="s">
        <v>168</v>
      </c>
    </row>
    <row r="129" spans="1:7" x14ac:dyDescent="0.25">
      <c r="A129" s="4">
        <v>120</v>
      </c>
      <c r="C129" s="3" t="s">
        <v>492</v>
      </c>
      <c r="D129" s="3" t="s">
        <v>493</v>
      </c>
      <c r="E129" s="3" t="s">
        <v>494</v>
      </c>
      <c r="F129" s="3" t="s">
        <v>490</v>
      </c>
      <c r="G129" s="3" t="s">
        <v>168</v>
      </c>
    </row>
    <row r="130" spans="1:7" x14ac:dyDescent="0.25">
      <c r="A130" s="4">
        <v>121</v>
      </c>
      <c r="C130" s="3" t="s">
        <v>495</v>
      </c>
      <c r="D130" s="3" t="s">
        <v>496</v>
      </c>
      <c r="F130" s="3" t="s">
        <v>490</v>
      </c>
      <c r="G130" s="3" t="s">
        <v>168</v>
      </c>
    </row>
    <row r="131" spans="1:7" x14ac:dyDescent="0.25">
      <c r="A131" s="4">
        <v>122</v>
      </c>
      <c r="C131" s="3" t="s">
        <v>497</v>
      </c>
      <c r="D131" s="3" t="s">
        <v>498</v>
      </c>
      <c r="E131" s="3" t="s">
        <v>499</v>
      </c>
      <c r="F131" s="3" t="s">
        <v>490</v>
      </c>
      <c r="G131" s="3" t="s">
        <v>168</v>
      </c>
    </row>
    <row r="132" spans="1:7" x14ac:dyDescent="0.25">
      <c r="A132" s="4">
        <v>123</v>
      </c>
      <c r="C132" s="3" t="s">
        <v>500</v>
      </c>
      <c r="D132" s="3" t="s">
        <v>501</v>
      </c>
      <c r="F132" s="3" t="s">
        <v>490</v>
      </c>
      <c r="G132" s="3" t="s">
        <v>168</v>
      </c>
    </row>
    <row r="133" spans="1:7" x14ac:dyDescent="0.25">
      <c r="A133" s="4">
        <v>124</v>
      </c>
      <c r="C133" s="3" t="s">
        <v>502</v>
      </c>
      <c r="D133" s="3" t="s">
        <v>503</v>
      </c>
      <c r="E133" s="3" t="s">
        <v>504</v>
      </c>
      <c r="F133" s="3" t="s">
        <v>490</v>
      </c>
      <c r="G133" s="3" t="s">
        <v>168</v>
      </c>
    </row>
    <row r="134" spans="1:7" x14ac:dyDescent="0.25">
      <c r="A134" s="4">
        <v>125</v>
      </c>
      <c r="C134" s="3" t="s">
        <v>505</v>
      </c>
      <c r="D134" s="3" t="s">
        <v>506</v>
      </c>
      <c r="F134" s="3" t="s">
        <v>490</v>
      </c>
      <c r="G134" s="3" t="s">
        <v>168</v>
      </c>
    </row>
    <row r="135" spans="1:7" x14ac:dyDescent="0.25">
      <c r="A135" s="4">
        <v>126</v>
      </c>
      <c r="C135" s="3" t="s">
        <v>507</v>
      </c>
      <c r="D135" s="3" t="s">
        <v>508</v>
      </c>
      <c r="E135" s="3" t="s">
        <v>509</v>
      </c>
      <c r="F135" s="3" t="s">
        <v>490</v>
      </c>
      <c r="G135" s="3" t="s">
        <v>168</v>
      </c>
    </row>
    <row r="136" spans="1:7" x14ac:dyDescent="0.25">
      <c r="A136" s="4">
        <v>127</v>
      </c>
      <c r="C136" s="3" t="s">
        <v>510</v>
      </c>
      <c r="D136" s="3" t="s">
        <v>511</v>
      </c>
      <c r="F136" s="3" t="s">
        <v>490</v>
      </c>
      <c r="G136" s="3" t="s">
        <v>168</v>
      </c>
    </row>
    <row r="137" spans="1:7" x14ac:dyDescent="0.25">
      <c r="A137" s="4">
        <v>128</v>
      </c>
      <c r="C137" s="3" t="s">
        <v>512</v>
      </c>
      <c r="D137" s="3" t="s">
        <v>513</v>
      </c>
      <c r="E137" s="3" t="s">
        <v>514</v>
      </c>
      <c r="F137" s="3" t="s">
        <v>490</v>
      </c>
      <c r="G137" s="3" t="s">
        <v>168</v>
      </c>
    </row>
    <row r="138" spans="1:7" x14ac:dyDescent="0.25">
      <c r="A138" s="4">
        <v>129</v>
      </c>
      <c r="C138" s="3" t="s">
        <v>515</v>
      </c>
      <c r="D138" s="3" t="s">
        <v>516</v>
      </c>
      <c r="F138" s="3" t="s">
        <v>490</v>
      </c>
      <c r="G138" s="3" t="s">
        <v>168</v>
      </c>
    </row>
    <row r="139" spans="1:7" x14ac:dyDescent="0.25">
      <c r="A139" s="4">
        <v>130</v>
      </c>
      <c r="C139" s="3" t="s">
        <v>517</v>
      </c>
      <c r="D139" s="3" t="s">
        <v>518</v>
      </c>
      <c r="E139" s="3" t="s">
        <v>520</v>
      </c>
      <c r="F139" s="3" t="s">
        <v>519</v>
      </c>
      <c r="G139" s="3" t="s">
        <v>168</v>
      </c>
    </row>
    <row r="140" spans="1:7" x14ac:dyDescent="0.25">
      <c r="A140" s="4">
        <v>131</v>
      </c>
      <c r="C140" s="3" t="s">
        <v>521</v>
      </c>
      <c r="D140" s="3" t="s">
        <v>522</v>
      </c>
      <c r="E140" s="3" t="s">
        <v>416</v>
      </c>
      <c r="F140" s="3" t="s">
        <v>519</v>
      </c>
      <c r="G140" s="3" t="s">
        <v>168</v>
      </c>
    </row>
    <row r="141" spans="1:7" x14ac:dyDescent="0.25">
      <c r="A141" s="4">
        <v>132</v>
      </c>
      <c r="C141" s="3" t="s">
        <v>492</v>
      </c>
      <c r="D141" s="3" t="s">
        <v>493</v>
      </c>
      <c r="E141" s="3" t="s">
        <v>494</v>
      </c>
      <c r="F141" s="3" t="s">
        <v>519</v>
      </c>
      <c r="G141" s="3" t="s">
        <v>168</v>
      </c>
    </row>
    <row r="142" spans="1:7" x14ac:dyDescent="0.25">
      <c r="A142" s="4">
        <v>133</v>
      </c>
      <c r="C142" s="3" t="s">
        <v>495</v>
      </c>
      <c r="D142" s="3" t="s">
        <v>496</v>
      </c>
      <c r="F142" s="3" t="s">
        <v>519</v>
      </c>
      <c r="G142" s="3" t="s">
        <v>168</v>
      </c>
    </row>
    <row r="143" spans="1:7" x14ac:dyDescent="0.25">
      <c r="A143" s="4">
        <v>134</v>
      </c>
      <c r="C143" s="3" t="s">
        <v>497</v>
      </c>
      <c r="D143" s="3" t="s">
        <v>498</v>
      </c>
      <c r="E143" s="3" t="s">
        <v>499</v>
      </c>
      <c r="F143" s="3" t="s">
        <v>519</v>
      </c>
      <c r="G143" s="3" t="s">
        <v>168</v>
      </c>
    </row>
    <row r="144" spans="1:7" x14ac:dyDescent="0.25">
      <c r="A144" s="4">
        <v>135</v>
      </c>
      <c r="C144" s="3" t="s">
        <v>500</v>
      </c>
      <c r="D144" s="3" t="s">
        <v>501</v>
      </c>
      <c r="F144" s="3" t="s">
        <v>519</v>
      </c>
      <c r="G144" s="3" t="s">
        <v>168</v>
      </c>
    </row>
    <row r="145" spans="1:7" x14ac:dyDescent="0.25">
      <c r="A145" s="4">
        <v>136</v>
      </c>
      <c r="C145" s="3" t="s">
        <v>502</v>
      </c>
      <c r="D145" s="3" t="s">
        <v>503</v>
      </c>
      <c r="E145" s="3" t="s">
        <v>504</v>
      </c>
      <c r="F145" s="3" t="s">
        <v>519</v>
      </c>
      <c r="G145" s="3" t="s">
        <v>168</v>
      </c>
    </row>
    <row r="146" spans="1:7" x14ac:dyDescent="0.25">
      <c r="A146" s="4">
        <v>137</v>
      </c>
      <c r="C146" s="3" t="s">
        <v>505</v>
      </c>
      <c r="D146" s="3" t="s">
        <v>506</v>
      </c>
      <c r="F146" s="3" t="s">
        <v>519</v>
      </c>
      <c r="G146" s="3" t="s">
        <v>168</v>
      </c>
    </row>
    <row r="147" spans="1:7" x14ac:dyDescent="0.25">
      <c r="A147" s="4">
        <v>138</v>
      </c>
      <c r="C147" s="3" t="s">
        <v>507</v>
      </c>
      <c r="D147" s="3" t="s">
        <v>508</v>
      </c>
      <c r="E147" s="3" t="s">
        <v>509</v>
      </c>
      <c r="F147" s="3" t="s">
        <v>519</v>
      </c>
      <c r="G147" s="3" t="s">
        <v>168</v>
      </c>
    </row>
    <row r="148" spans="1:7" x14ac:dyDescent="0.25">
      <c r="A148" s="4">
        <v>139</v>
      </c>
      <c r="C148" s="3" t="s">
        <v>510</v>
      </c>
      <c r="D148" s="3" t="s">
        <v>511</v>
      </c>
      <c r="F148" s="3" t="s">
        <v>519</v>
      </c>
      <c r="G148" s="3" t="s">
        <v>168</v>
      </c>
    </row>
    <row r="149" spans="1:7" x14ac:dyDescent="0.25">
      <c r="A149" s="4">
        <v>140</v>
      </c>
      <c r="C149" s="3" t="s">
        <v>512</v>
      </c>
      <c r="D149" s="3" t="s">
        <v>513</v>
      </c>
      <c r="E149" s="3" t="s">
        <v>514</v>
      </c>
      <c r="F149" s="3" t="s">
        <v>519</v>
      </c>
      <c r="G149" s="3" t="s">
        <v>168</v>
      </c>
    </row>
    <row r="150" spans="1:7" x14ac:dyDescent="0.25">
      <c r="A150" s="4">
        <v>141</v>
      </c>
      <c r="C150" s="3" t="s">
        <v>515</v>
      </c>
      <c r="D150" s="3" t="s">
        <v>516</v>
      </c>
      <c r="F150" s="3" t="s">
        <v>519</v>
      </c>
      <c r="G150" s="3" t="s">
        <v>168</v>
      </c>
    </row>
    <row r="151" spans="1:7" x14ac:dyDescent="0.25">
      <c r="A151" s="4">
        <v>142</v>
      </c>
      <c r="C151" s="3" t="s">
        <v>523</v>
      </c>
      <c r="D151" s="3" t="s">
        <v>524</v>
      </c>
      <c r="E151" s="3" t="s">
        <v>526</v>
      </c>
      <c r="F151" s="3" t="s">
        <v>525</v>
      </c>
      <c r="G151" s="3" t="s">
        <v>168</v>
      </c>
    </row>
    <row r="152" spans="1:7" x14ac:dyDescent="0.25">
      <c r="A152" s="4">
        <v>143</v>
      </c>
      <c r="C152" s="3" t="s">
        <v>527</v>
      </c>
      <c r="D152" s="3" t="s">
        <v>528</v>
      </c>
      <c r="E152" s="3" t="s">
        <v>529</v>
      </c>
      <c r="F152" s="3" t="s">
        <v>525</v>
      </c>
      <c r="G152" s="3" t="s">
        <v>168</v>
      </c>
    </row>
    <row r="153" spans="1:7" x14ac:dyDescent="0.25">
      <c r="A153" s="4">
        <v>144</v>
      </c>
      <c r="C153" s="3" t="s">
        <v>530</v>
      </c>
      <c r="D153" s="3" t="s">
        <v>531</v>
      </c>
      <c r="E153" s="3" t="s">
        <v>532</v>
      </c>
      <c r="F153" s="3" t="s">
        <v>525</v>
      </c>
      <c r="G153" s="3" t="s">
        <v>168</v>
      </c>
    </row>
    <row r="154" spans="1:7" x14ac:dyDescent="0.25">
      <c r="A154" s="4">
        <v>145</v>
      </c>
      <c r="C154" s="3" t="s">
        <v>533</v>
      </c>
      <c r="D154" s="3" t="s">
        <v>534</v>
      </c>
      <c r="E154" s="3" t="s">
        <v>535</v>
      </c>
      <c r="F154" s="3" t="s">
        <v>525</v>
      </c>
      <c r="G154" s="3" t="s">
        <v>168</v>
      </c>
    </row>
    <row r="155" spans="1:7" x14ac:dyDescent="0.25">
      <c r="A155" s="4">
        <v>146</v>
      </c>
      <c r="C155" s="3" t="s">
        <v>536</v>
      </c>
      <c r="D155" s="3" t="s">
        <v>537</v>
      </c>
      <c r="F155" s="3" t="s">
        <v>525</v>
      </c>
      <c r="G155" s="3" t="s">
        <v>168</v>
      </c>
    </row>
    <row r="156" spans="1:7" x14ac:dyDescent="0.25">
      <c r="A156" s="4">
        <v>147</v>
      </c>
      <c r="C156" s="3" t="s">
        <v>538</v>
      </c>
      <c r="D156" s="3" t="s">
        <v>539</v>
      </c>
      <c r="E156" s="3" t="s">
        <v>540</v>
      </c>
      <c r="F156" s="3" t="s">
        <v>525</v>
      </c>
      <c r="G156" s="3" t="s">
        <v>168</v>
      </c>
    </row>
    <row r="157" spans="1:7" x14ac:dyDescent="0.25">
      <c r="A157" s="4">
        <v>148</v>
      </c>
      <c r="C157" s="3" t="s">
        <v>541</v>
      </c>
      <c r="D157" s="3" t="s">
        <v>542</v>
      </c>
      <c r="E157" s="3" t="s">
        <v>543</v>
      </c>
      <c r="F157" s="3" t="s">
        <v>525</v>
      </c>
      <c r="G157" s="3" t="s">
        <v>168</v>
      </c>
    </row>
    <row r="158" spans="1:7" x14ac:dyDescent="0.25">
      <c r="A158" s="4">
        <v>149</v>
      </c>
      <c r="C158" s="3" t="s">
        <v>544</v>
      </c>
      <c r="D158" s="3" t="s">
        <v>545</v>
      </c>
      <c r="E158" s="3" t="s">
        <v>546</v>
      </c>
      <c r="F158" s="3" t="s">
        <v>525</v>
      </c>
      <c r="G158" s="3" t="s">
        <v>168</v>
      </c>
    </row>
    <row r="159" spans="1:7" x14ac:dyDescent="0.25">
      <c r="A159" s="4">
        <v>150</v>
      </c>
      <c r="C159" s="3" t="s">
        <v>547</v>
      </c>
      <c r="D159" s="3" t="s">
        <v>548</v>
      </c>
      <c r="E159" s="3" t="s">
        <v>549</v>
      </c>
      <c r="F159" s="3" t="s">
        <v>525</v>
      </c>
      <c r="G159" s="3" t="s">
        <v>168</v>
      </c>
    </row>
    <row r="160" spans="1:7" x14ac:dyDescent="0.25">
      <c r="A160" s="4">
        <v>151</v>
      </c>
      <c r="C160" s="3" t="s">
        <v>550</v>
      </c>
      <c r="D160" s="3" t="s">
        <v>551</v>
      </c>
      <c r="E160" s="3" t="s">
        <v>552</v>
      </c>
      <c r="F160" s="3" t="s">
        <v>525</v>
      </c>
      <c r="G160" s="3" t="s">
        <v>168</v>
      </c>
    </row>
    <row r="161" spans="1:7" x14ac:dyDescent="0.25">
      <c r="A161" s="4">
        <v>152</v>
      </c>
      <c r="C161" s="3" t="s">
        <v>553</v>
      </c>
      <c r="D161" s="3" t="s">
        <v>554</v>
      </c>
      <c r="E161" s="3" t="s">
        <v>555</v>
      </c>
      <c r="F161" s="3" t="s">
        <v>525</v>
      </c>
      <c r="G161" s="3" t="s">
        <v>168</v>
      </c>
    </row>
    <row r="162" spans="1:7" x14ac:dyDescent="0.25">
      <c r="A162" s="4">
        <v>153</v>
      </c>
      <c r="C162" s="3" t="s">
        <v>556</v>
      </c>
      <c r="D162" s="3" t="s">
        <v>557</v>
      </c>
      <c r="E162" s="3" t="s">
        <v>558</v>
      </c>
      <c r="F162" s="3" t="s">
        <v>525</v>
      </c>
      <c r="G162" s="3" t="s">
        <v>168</v>
      </c>
    </row>
    <row r="163" spans="1:7" x14ac:dyDescent="0.25">
      <c r="A163" s="4">
        <v>154</v>
      </c>
      <c r="C163" s="3" t="s">
        <v>559</v>
      </c>
      <c r="D163" s="3" t="s">
        <v>560</v>
      </c>
      <c r="F163" s="3" t="s">
        <v>525</v>
      </c>
      <c r="G163" s="3" t="s">
        <v>168</v>
      </c>
    </row>
    <row r="164" spans="1:7" x14ac:dyDescent="0.25">
      <c r="A164" s="4">
        <v>155</v>
      </c>
      <c r="C164" s="3" t="s">
        <v>561</v>
      </c>
      <c r="D164" s="3" t="s">
        <v>562</v>
      </c>
      <c r="F164" s="3" t="s">
        <v>525</v>
      </c>
      <c r="G164" s="3" t="s">
        <v>168</v>
      </c>
    </row>
    <row r="165" spans="1:7" x14ac:dyDescent="0.25">
      <c r="A165" s="4">
        <v>156</v>
      </c>
      <c r="C165" s="3" t="s">
        <v>563</v>
      </c>
      <c r="D165" s="3" t="s">
        <v>564</v>
      </c>
      <c r="E165" s="3" t="s">
        <v>565</v>
      </c>
      <c r="F165" s="3" t="s">
        <v>525</v>
      </c>
      <c r="G165" s="3" t="s">
        <v>168</v>
      </c>
    </row>
    <row r="166" spans="1:7" x14ac:dyDescent="0.25">
      <c r="A166" s="4">
        <v>157</v>
      </c>
      <c r="C166" s="3" t="s">
        <v>566</v>
      </c>
      <c r="D166" s="3" t="s">
        <v>567</v>
      </c>
      <c r="E166" s="3" t="s">
        <v>568</v>
      </c>
      <c r="F166" s="3" t="s">
        <v>525</v>
      </c>
      <c r="G166" s="3" t="s">
        <v>168</v>
      </c>
    </row>
    <row r="167" spans="1:7" x14ac:dyDescent="0.25">
      <c r="A167" s="4">
        <v>158</v>
      </c>
      <c r="C167" s="3" t="s">
        <v>569</v>
      </c>
      <c r="D167" s="3" t="s">
        <v>570</v>
      </c>
      <c r="E167" s="3" t="s">
        <v>571</v>
      </c>
      <c r="F167" s="3" t="s">
        <v>525</v>
      </c>
      <c r="G167" s="3" t="s">
        <v>168</v>
      </c>
    </row>
    <row r="168" spans="1:7" x14ac:dyDescent="0.25">
      <c r="A168" s="4">
        <v>159</v>
      </c>
      <c r="C168" s="3" t="s">
        <v>572</v>
      </c>
      <c r="D168" s="3" t="s">
        <v>573</v>
      </c>
      <c r="E168" s="3" t="s">
        <v>574</v>
      </c>
      <c r="F168" s="3" t="s">
        <v>525</v>
      </c>
      <c r="G168" s="3" t="s">
        <v>168</v>
      </c>
    </row>
    <row r="169" spans="1:7" x14ac:dyDescent="0.25">
      <c r="A169" s="4">
        <v>160</v>
      </c>
      <c r="C169" s="3" t="s">
        <v>575</v>
      </c>
      <c r="D169" s="3" t="s">
        <v>576</v>
      </c>
      <c r="E169" s="3" t="s">
        <v>577</v>
      </c>
      <c r="F169" s="3" t="s">
        <v>525</v>
      </c>
      <c r="G169" s="3" t="s">
        <v>168</v>
      </c>
    </row>
    <row r="170" spans="1:7" x14ac:dyDescent="0.25">
      <c r="A170" s="4">
        <v>161</v>
      </c>
      <c r="C170" s="3" t="s">
        <v>578</v>
      </c>
      <c r="D170" s="3" t="s">
        <v>579</v>
      </c>
      <c r="E170" s="3" t="s">
        <v>580</v>
      </c>
      <c r="F170" s="3" t="s">
        <v>525</v>
      </c>
      <c r="G170" s="3" t="s">
        <v>168</v>
      </c>
    </row>
    <row r="171" spans="1:7" x14ac:dyDescent="0.25">
      <c r="A171" s="4">
        <v>162</v>
      </c>
      <c r="C171" s="3" t="s">
        <v>581</v>
      </c>
      <c r="D171" s="3" t="s">
        <v>582</v>
      </c>
      <c r="E171" s="3" t="s">
        <v>583</v>
      </c>
      <c r="F171" s="3" t="s">
        <v>525</v>
      </c>
      <c r="G171" s="3" t="s">
        <v>168</v>
      </c>
    </row>
    <row r="172" spans="1:7" x14ac:dyDescent="0.25">
      <c r="A172" s="4">
        <v>163</v>
      </c>
      <c r="C172" s="3" t="s">
        <v>584</v>
      </c>
      <c r="D172" s="3" t="s">
        <v>585</v>
      </c>
      <c r="E172" s="3" t="s">
        <v>586</v>
      </c>
      <c r="F172" s="3" t="s">
        <v>525</v>
      </c>
      <c r="G172" s="3" t="s">
        <v>168</v>
      </c>
    </row>
    <row r="173" spans="1:7" x14ac:dyDescent="0.25">
      <c r="A173" s="4">
        <v>164</v>
      </c>
      <c r="C173" s="3" t="s">
        <v>587</v>
      </c>
      <c r="D173" s="3" t="s">
        <v>588</v>
      </c>
      <c r="E173" s="3" t="s">
        <v>589</v>
      </c>
      <c r="F173" s="3" t="s">
        <v>525</v>
      </c>
      <c r="G173" s="3" t="s">
        <v>168</v>
      </c>
    </row>
    <row r="174" spans="1:7" x14ac:dyDescent="0.25">
      <c r="A174" s="4">
        <v>165</v>
      </c>
      <c r="C174" s="3" t="s">
        <v>590</v>
      </c>
      <c r="D174" s="3" t="s">
        <v>591</v>
      </c>
      <c r="F174" s="3" t="s">
        <v>525</v>
      </c>
      <c r="G174" s="3" t="s">
        <v>168</v>
      </c>
    </row>
    <row r="175" spans="1:7" x14ac:dyDescent="0.25">
      <c r="A175" s="4">
        <v>166</v>
      </c>
      <c r="C175" s="3" t="s">
        <v>592</v>
      </c>
      <c r="D175" s="3" t="s">
        <v>593</v>
      </c>
      <c r="E175" s="3" t="s">
        <v>594</v>
      </c>
      <c r="F175" s="3" t="s">
        <v>525</v>
      </c>
      <c r="G175" s="3" t="s">
        <v>168</v>
      </c>
    </row>
    <row r="176" spans="1:7" x14ac:dyDescent="0.25">
      <c r="A176" s="4">
        <v>167</v>
      </c>
      <c r="C176" s="3" t="s">
        <v>595</v>
      </c>
      <c r="D176" s="3" t="s">
        <v>596</v>
      </c>
      <c r="E176" s="3" t="s">
        <v>597</v>
      </c>
      <c r="F176" s="3" t="s">
        <v>525</v>
      </c>
      <c r="G176" s="3" t="s">
        <v>168</v>
      </c>
    </row>
    <row r="177" spans="1:7" x14ac:dyDescent="0.25">
      <c r="A177" s="4">
        <v>168</v>
      </c>
      <c r="C177" s="3" t="s">
        <v>598</v>
      </c>
      <c r="D177" s="3" t="s">
        <v>599</v>
      </c>
      <c r="F177" s="3" t="s">
        <v>525</v>
      </c>
      <c r="G177" s="3" t="s">
        <v>168</v>
      </c>
    </row>
    <row r="178" spans="1:7" x14ac:dyDescent="0.25">
      <c r="A178" s="4">
        <v>169</v>
      </c>
      <c r="C178" s="3" t="s">
        <v>600</v>
      </c>
      <c r="D178" s="3" t="s">
        <v>601</v>
      </c>
      <c r="F178" s="3" t="s">
        <v>525</v>
      </c>
      <c r="G178" s="3" t="s">
        <v>168</v>
      </c>
    </row>
    <row r="179" spans="1:7" x14ac:dyDescent="0.25">
      <c r="A179" s="4">
        <v>170</v>
      </c>
      <c r="C179" s="3" t="s">
        <v>602</v>
      </c>
      <c r="D179" s="3" t="s">
        <v>603</v>
      </c>
      <c r="F179" s="3" t="s">
        <v>525</v>
      </c>
      <c r="G179" s="3" t="s">
        <v>168</v>
      </c>
    </row>
    <row r="180" spans="1:7" x14ac:dyDescent="0.25">
      <c r="A180" s="4">
        <v>171</v>
      </c>
      <c r="C180" s="3" t="s">
        <v>604</v>
      </c>
      <c r="D180" s="3" t="s">
        <v>605</v>
      </c>
      <c r="E180" s="3" t="s">
        <v>606</v>
      </c>
      <c r="F180" s="3" t="s">
        <v>525</v>
      </c>
      <c r="G180" s="3" t="s">
        <v>168</v>
      </c>
    </row>
    <row r="181" spans="1:7" x14ac:dyDescent="0.25">
      <c r="A181" s="4">
        <v>172</v>
      </c>
      <c r="C181" s="3" t="s">
        <v>607</v>
      </c>
      <c r="D181" s="3" t="s">
        <v>608</v>
      </c>
      <c r="E181" s="3" t="s">
        <v>609</v>
      </c>
      <c r="F181" s="3" t="s">
        <v>525</v>
      </c>
      <c r="G181" s="3" t="s">
        <v>168</v>
      </c>
    </row>
    <row r="182" spans="1:7" x14ac:dyDescent="0.25">
      <c r="A182" s="4">
        <v>173</v>
      </c>
      <c r="C182" s="3" t="s">
        <v>610</v>
      </c>
      <c r="D182" s="3" t="s">
        <v>611</v>
      </c>
      <c r="E182" s="3" t="s">
        <v>612</v>
      </c>
      <c r="F182" s="3" t="s">
        <v>525</v>
      </c>
      <c r="G182" s="3" t="s">
        <v>168</v>
      </c>
    </row>
    <row r="183" spans="1:7" x14ac:dyDescent="0.25">
      <c r="A183" s="4">
        <v>174</v>
      </c>
      <c r="C183" s="3" t="s">
        <v>613</v>
      </c>
      <c r="D183" s="3" t="s">
        <v>614</v>
      </c>
      <c r="E183" s="3" t="s">
        <v>615</v>
      </c>
      <c r="F183" s="3" t="s">
        <v>525</v>
      </c>
      <c r="G183" s="3" t="s">
        <v>168</v>
      </c>
    </row>
    <row r="184" spans="1:7" x14ac:dyDescent="0.25">
      <c r="A184" s="4">
        <v>175</v>
      </c>
      <c r="C184" s="3" t="s">
        <v>616</v>
      </c>
      <c r="D184" s="3" t="s">
        <v>617</v>
      </c>
      <c r="F184" s="3" t="s">
        <v>525</v>
      </c>
      <c r="G184" s="3" t="s">
        <v>168</v>
      </c>
    </row>
    <row r="185" spans="1:7" x14ac:dyDescent="0.25">
      <c r="A185" s="4">
        <v>176</v>
      </c>
      <c r="C185" s="3" t="s">
        <v>618</v>
      </c>
      <c r="D185" s="3" t="s">
        <v>619</v>
      </c>
      <c r="E185" s="3" t="s">
        <v>615</v>
      </c>
      <c r="F185" s="3" t="s">
        <v>525</v>
      </c>
      <c r="G185" s="3" t="s">
        <v>168</v>
      </c>
    </row>
    <row r="186" spans="1:7" x14ac:dyDescent="0.25">
      <c r="A186" s="4">
        <v>177</v>
      </c>
      <c r="C186" s="3" t="s">
        <v>620</v>
      </c>
      <c r="D186" s="3" t="s">
        <v>621</v>
      </c>
      <c r="E186" s="3" t="s">
        <v>623</v>
      </c>
      <c r="F186" s="3" t="s">
        <v>622</v>
      </c>
      <c r="G186" s="3" t="s">
        <v>168</v>
      </c>
    </row>
    <row r="187" spans="1:7" x14ac:dyDescent="0.25">
      <c r="A187" s="4">
        <v>178</v>
      </c>
      <c r="C187" s="3" t="s">
        <v>624</v>
      </c>
      <c r="D187" s="3" t="s">
        <v>625</v>
      </c>
      <c r="E187" s="3" t="s">
        <v>626</v>
      </c>
      <c r="F187" s="3" t="s">
        <v>622</v>
      </c>
      <c r="G187" s="3" t="s">
        <v>168</v>
      </c>
    </row>
    <row r="188" spans="1:7" x14ac:dyDescent="0.25">
      <c r="A188" s="4">
        <v>179</v>
      </c>
      <c r="C188" s="3" t="s">
        <v>627</v>
      </c>
      <c r="D188" s="3" t="s">
        <v>628</v>
      </c>
      <c r="E188" s="3" t="s">
        <v>629</v>
      </c>
      <c r="F188" s="3" t="s">
        <v>622</v>
      </c>
      <c r="G188" s="3" t="s">
        <v>168</v>
      </c>
    </row>
    <row r="189" spans="1:7" x14ac:dyDescent="0.25">
      <c r="A189" s="4">
        <v>180</v>
      </c>
      <c r="C189" s="3" t="s">
        <v>630</v>
      </c>
      <c r="D189" s="3" t="s">
        <v>631</v>
      </c>
      <c r="E189" s="3" t="s">
        <v>632</v>
      </c>
      <c r="F189" s="3" t="s">
        <v>622</v>
      </c>
      <c r="G189" s="3" t="s">
        <v>168</v>
      </c>
    </row>
    <row r="190" spans="1:7" x14ac:dyDescent="0.25">
      <c r="A190" s="4">
        <v>181</v>
      </c>
      <c r="C190" s="3" t="s">
        <v>633</v>
      </c>
      <c r="D190" s="3" t="s">
        <v>634</v>
      </c>
      <c r="E190" s="3" t="s">
        <v>636</v>
      </c>
      <c r="F190" s="3" t="s">
        <v>635</v>
      </c>
      <c r="G190" s="3" t="s">
        <v>168</v>
      </c>
    </row>
    <row r="191" spans="1:7" x14ac:dyDescent="0.25">
      <c r="A191" s="4">
        <v>182</v>
      </c>
      <c r="C191" s="3" t="s">
        <v>637</v>
      </c>
      <c r="D191" s="3" t="s">
        <v>638</v>
      </c>
      <c r="E191" s="3" t="s">
        <v>639</v>
      </c>
      <c r="F191" s="3" t="s">
        <v>635</v>
      </c>
      <c r="G191" s="3" t="s">
        <v>168</v>
      </c>
    </row>
    <row r="192" spans="1:7" x14ac:dyDescent="0.25">
      <c r="A192" s="4">
        <v>183</v>
      </c>
      <c r="C192" s="3" t="s">
        <v>640</v>
      </c>
      <c r="D192" s="3" t="s">
        <v>641</v>
      </c>
      <c r="E192" s="3" t="s">
        <v>642</v>
      </c>
      <c r="F192" s="3" t="s">
        <v>635</v>
      </c>
      <c r="G192" s="3" t="s">
        <v>168</v>
      </c>
    </row>
    <row r="193" spans="1:7" x14ac:dyDescent="0.25">
      <c r="A193" s="4">
        <v>184</v>
      </c>
      <c r="C193" s="3" t="s">
        <v>643</v>
      </c>
      <c r="D193" s="3" t="s">
        <v>644</v>
      </c>
      <c r="F193" s="3" t="s">
        <v>635</v>
      </c>
      <c r="G193" s="3" t="s">
        <v>168</v>
      </c>
    </row>
    <row r="194" spans="1:7" x14ac:dyDescent="0.25">
      <c r="A194" s="4">
        <v>185</v>
      </c>
      <c r="C194" s="3" t="s">
        <v>645</v>
      </c>
      <c r="D194" s="3" t="s">
        <v>646</v>
      </c>
      <c r="E194" s="3" t="s">
        <v>647</v>
      </c>
      <c r="F194" s="3" t="s">
        <v>635</v>
      </c>
      <c r="G194" s="3" t="s">
        <v>168</v>
      </c>
    </row>
    <row r="195" spans="1:7" x14ac:dyDescent="0.25">
      <c r="A195" s="4">
        <v>186</v>
      </c>
      <c r="C195" s="3" t="s">
        <v>648</v>
      </c>
      <c r="D195" s="3" t="s">
        <v>649</v>
      </c>
      <c r="E195" s="3" t="s">
        <v>650</v>
      </c>
      <c r="F195" s="3" t="s">
        <v>635</v>
      </c>
      <c r="G195" s="3" t="s">
        <v>168</v>
      </c>
    </row>
    <row r="196" spans="1:7" x14ac:dyDescent="0.25">
      <c r="A196" s="4">
        <v>187</v>
      </c>
      <c r="C196" s="3" t="s">
        <v>651</v>
      </c>
      <c r="D196" s="3" t="s">
        <v>652</v>
      </c>
      <c r="F196" s="3" t="s">
        <v>635</v>
      </c>
      <c r="G196" s="3" t="s">
        <v>168</v>
      </c>
    </row>
    <row r="197" spans="1:7" x14ac:dyDescent="0.25">
      <c r="A197" s="4">
        <v>188</v>
      </c>
      <c r="C197" s="3" t="s">
        <v>653</v>
      </c>
      <c r="D197" s="3" t="s">
        <v>654</v>
      </c>
      <c r="F197" s="3" t="s">
        <v>635</v>
      </c>
      <c r="G197" s="3" t="s">
        <v>168</v>
      </c>
    </row>
    <row r="198" spans="1:7" x14ac:dyDescent="0.25">
      <c r="A198" s="4">
        <v>189</v>
      </c>
      <c r="C198" s="3" t="s">
        <v>655</v>
      </c>
      <c r="D198" s="3" t="s">
        <v>656</v>
      </c>
      <c r="E198" s="3" t="s">
        <v>657</v>
      </c>
      <c r="F198" s="3" t="s">
        <v>635</v>
      </c>
      <c r="G198" s="3" t="s">
        <v>168</v>
      </c>
    </row>
    <row r="199" spans="1:7" x14ac:dyDescent="0.25">
      <c r="A199" s="4">
        <v>190</v>
      </c>
      <c r="B199" s="3" t="s">
        <v>1060</v>
      </c>
      <c r="C199" s="3" t="s">
        <v>658</v>
      </c>
      <c r="D199" s="3" t="s">
        <v>659</v>
      </c>
      <c r="E199" s="3" t="s">
        <v>661</v>
      </c>
      <c r="F199" s="3" t="s">
        <v>660</v>
      </c>
      <c r="G199" s="3" t="s">
        <v>168</v>
      </c>
    </row>
    <row r="200" spans="1:7" x14ac:dyDescent="0.25">
      <c r="A200" s="4">
        <v>191</v>
      </c>
      <c r="B200" s="3" t="s">
        <v>1061</v>
      </c>
      <c r="C200" s="3" t="s">
        <v>662</v>
      </c>
      <c r="D200" s="3" t="s">
        <v>663</v>
      </c>
      <c r="E200" s="3" t="s">
        <v>664</v>
      </c>
      <c r="F200" s="3" t="s">
        <v>660</v>
      </c>
      <c r="G200" s="3" t="s">
        <v>168</v>
      </c>
    </row>
    <row r="201" spans="1:7" x14ac:dyDescent="0.25">
      <c r="A201" s="4">
        <v>192</v>
      </c>
      <c r="C201" s="3" t="s">
        <v>665</v>
      </c>
      <c r="D201" s="3" t="s">
        <v>666</v>
      </c>
      <c r="E201" s="3" t="s">
        <v>667</v>
      </c>
      <c r="F201" s="3" t="s">
        <v>660</v>
      </c>
      <c r="G201" s="3" t="s">
        <v>168</v>
      </c>
    </row>
    <row r="202" spans="1:7" x14ac:dyDescent="0.25">
      <c r="A202" s="4">
        <v>193</v>
      </c>
      <c r="C202" s="3" t="s">
        <v>668</v>
      </c>
      <c r="D202" s="3" t="s">
        <v>669</v>
      </c>
      <c r="E202" s="3" t="s">
        <v>670</v>
      </c>
      <c r="F202" s="3" t="s">
        <v>660</v>
      </c>
      <c r="G202" s="3" t="s">
        <v>168</v>
      </c>
    </row>
    <row r="203" spans="1:7" x14ac:dyDescent="0.25">
      <c r="A203" s="4">
        <v>194</v>
      </c>
      <c r="C203" s="3" t="s">
        <v>671</v>
      </c>
      <c r="D203" s="3" t="s">
        <v>672</v>
      </c>
      <c r="E203" s="3" t="s">
        <v>673</v>
      </c>
      <c r="F203" s="3" t="s">
        <v>660</v>
      </c>
      <c r="G203" s="3" t="s">
        <v>168</v>
      </c>
    </row>
    <row r="204" spans="1:7" x14ac:dyDescent="0.25">
      <c r="A204" s="4">
        <v>195</v>
      </c>
      <c r="C204" s="3" t="s">
        <v>674</v>
      </c>
      <c r="D204" s="3" t="s">
        <v>675</v>
      </c>
      <c r="F204" s="3" t="s">
        <v>660</v>
      </c>
      <c r="G204" s="3" t="s">
        <v>168</v>
      </c>
    </row>
    <row r="205" spans="1:7" x14ac:dyDescent="0.25">
      <c r="A205" s="4">
        <v>196</v>
      </c>
      <c r="C205" s="3" t="s">
        <v>676</v>
      </c>
      <c r="D205" s="3" t="s">
        <v>677</v>
      </c>
      <c r="F205" s="3" t="s">
        <v>660</v>
      </c>
      <c r="G205" s="3" t="s">
        <v>168</v>
      </c>
    </row>
    <row r="206" spans="1:7" x14ac:dyDescent="0.25">
      <c r="A206" s="4">
        <v>197</v>
      </c>
      <c r="C206" s="3" t="s">
        <v>678</v>
      </c>
      <c r="D206" s="3" t="s">
        <v>679</v>
      </c>
      <c r="F206" s="3" t="s">
        <v>660</v>
      </c>
      <c r="G206" s="3" t="s">
        <v>168</v>
      </c>
    </row>
    <row r="207" spans="1:7" x14ac:dyDescent="0.25">
      <c r="A207" s="4">
        <v>198</v>
      </c>
      <c r="C207" s="3" t="s">
        <v>680</v>
      </c>
      <c r="D207" s="3" t="s">
        <v>681</v>
      </c>
      <c r="E207" s="3" t="s">
        <v>682</v>
      </c>
      <c r="F207" s="3" t="s">
        <v>1138</v>
      </c>
      <c r="G207" s="3" t="s">
        <v>168</v>
      </c>
    </row>
    <row r="208" spans="1:7" x14ac:dyDescent="0.25">
      <c r="A208" s="4">
        <v>199</v>
      </c>
      <c r="B208" s="3" t="s">
        <v>1062</v>
      </c>
      <c r="C208" s="3" t="s">
        <v>683</v>
      </c>
      <c r="D208" s="3" t="s">
        <v>1550</v>
      </c>
      <c r="E208" s="3" t="s">
        <v>684</v>
      </c>
      <c r="F208" s="3" t="s">
        <v>1139</v>
      </c>
      <c r="G208" s="3" t="s">
        <v>168</v>
      </c>
    </row>
    <row r="209" spans="1:7" x14ac:dyDescent="0.25">
      <c r="A209" s="4">
        <v>200</v>
      </c>
      <c r="B209" s="3" t="s">
        <v>1062</v>
      </c>
      <c r="C209" s="3" t="s">
        <v>685</v>
      </c>
      <c r="D209" s="3" t="s">
        <v>1551</v>
      </c>
      <c r="E209" s="3" t="s">
        <v>686</v>
      </c>
      <c r="F209" s="3" t="s">
        <v>1139</v>
      </c>
      <c r="G209" s="3" t="s">
        <v>168</v>
      </c>
    </row>
    <row r="210" spans="1:7" x14ac:dyDescent="0.25">
      <c r="A210" s="4">
        <v>201</v>
      </c>
      <c r="B210" s="3" t="s">
        <v>1062</v>
      </c>
      <c r="C210" s="3" t="s">
        <v>687</v>
      </c>
      <c r="D210" s="3" t="s">
        <v>1552</v>
      </c>
      <c r="E210" s="3" t="s">
        <v>688</v>
      </c>
      <c r="F210" s="3" t="s">
        <v>1139</v>
      </c>
      <c r="G210" s="3" t="s">
        <v>168</v>
      </c>
    </row>
    <row r="211" spans="1:7" x14ac:dyDescent="0.25">
      <c r="A211" s="4">
        <v>202</v>
      </c>
      <c r="B211" s="3" t="s">
        <v>1062</v>
      </c>
      <c r="C211" s="3" t="s">
        <v>689</v>
      </c>
      <c r="D211" s="3" t="s">
        <v>1553</v>
      </c>
      <c r="E211" s="3" t="s">
        <v>690</v>
      </c>
      <c r="F211" s="3" t="s">
        <v>1139</v>
      </c>
      <c r="G211" s="3" t="s">
        <v>168</v>
      </c>
    </row>
    <row r="212" spans="1:7" x14ac:dyDescent="0.25">
      <c r="A212" s="4">
        <v>203</v>
      </c>
      <c r="B212" s="3" t="s">
        <v>1062</v>
      </c>
      <c r="C212" s="3" t="s">
        <v>691</v>
      </c>
      <c r="D212" s="3" t="s">
        <v>1554</v>
      </c>
      <c r="E212" s="3" t="s">
        <v>692</v>
      </c>
      <c r="F212" s="3" t="s">
        <v>1139</v>
      </c>
      <c r="G212" s="3" t="s">
        <v>168</v>
      </c>
    </row>
    <row r="213" spans="1:7" x14ac:dyDescent="0.25">
      <c r="A213" s="4">
        <v>204</v>
      </c>
      <c r="B213" s="3" t="s">
        <v>1062</v>
      </c>
      <c r="C213" s="3" t="s">
        <v>693</v>
      </c>
      <c r="D213" s="3" t="s">
        <v>1555</v>
      </c>
      <c r="E213" s="3" t="s">
        <v>694</v>
      </c>
      <c r="F213" s="3" t="s">
        <v>1139</v>
      </c>
      <c r="G213" s="3" t="s">
        <v>168</v>
      </c>
    </row>
    <row r="214" spans="1:7" x14ac:dyDescent="0.25">
      <c r="A214" s="4">
        <v>205</v>
      </c>
      <c r="B214" s="3" t="s">
        <v>1062</v>
      </c>
      <c r="C214" s="3" t="s">
        <v>695</v>
      </c>
      <c r="D214" s="3" t="s">
        <v>1556</v>
      </c>
      <c r="E214" s="3" t="s">
        <v>696</v>
      </c>
      <c r="F214" s="3" t="s">
        <v>1139</v>
      </c>
      <c r="G214" s="3" t="s">
        <v>168</v>
      </c>
    </row>
    <row r="215" spans="1:7" x14ac:dyDescent="0.25">
      <c r="A215" s="4">
        <v>206</v>
      </c>
      <c r="B215" s="3" t="s">
        <v>1062</v>
      </c>
      <c r="C215" s="3" t="s">
        <v>697</v>
      </c>
      <c r="D215" s="3" t="s">
        <v>1557</v>
      </c>
      <c r="E215" s="3" t="s">
        <v>698</v>
      </c>
      <c r="F215" s="3" t="s">
        <v>1139</v>
      </c>
      <c r="G215" s="3" t="s">
        <v>168</v>
      </c>
    </row>
    <row r="216" spans="1:7" x14ac:dyDescent="0.25">
      <c r="A216" s="4">
        <v>207</v>
      </c>
      <c r="B216" s="3" t="s">
        <v>1062</v>
      </c>
      <c r="C216" s="3" t="s">
        <v>699</v>
      </c>
      <c r="D216" s="3" t="s">
        <v>1558</v>
      </c>
      <c r="E216" s="3" t="s">
        <v>700</v>
      </c>
      <c r="F216" s="3" t="s">
        <v>1139</v>
      </c>
      <c r="G216" s="3" t="s">
        <v>168</v>
      </c>
    </row>
    <row r="217" spans="1:7" x14ac:dyDescent="0.25">
      <c r="A217" s="4">
        <v>208</v>
      </c>
      <c r="B217" s="3" t="s">
        <v>1063</v>
      </c>
      <c r="C217" s="3" t="s">
        <v>701</v>
      </c>
      <c r="D217" s="3" t="s">
        <v>1140</v>
      </c>
      <c r="E217" s="3" t="s">
        <v>702</v>
      </c>
      <c r="F217" s="3" t="s">
        <v>1139</v>
      </c>
      <c r="G217" s="3" t="s">
        <v>168</v>
      </c>
    </row>
    <row r="218" spans="1:7" x14ac:dyDescent="0.25">
      <c r="A218" s="4">
        <v>209</v>
      </c>
      <c r="B218" s="3" t="s">
        <v>1063</v>
      </c>
      <c r="C218" s="3" t="s">
        <v>1141</v>
      </c>
      <c r="D218" s="3" t="s">
        <v>1142</v>
      </c>
      <c r="E218" s="3" t="s">
        <v>1143</v>
      </c>
      <c r="F218" s="3" t="s">
        <v>1139</v>
      </c>
      <c r="G218" s="3" t="s">
        <v>168</v>
      </c>
    </row>
    <row r="219" spans="1:7" x14ac:dyDescent="0.25">
      <c r="A219" s="4">
        <v>210</v>
      </c>
      <c r="B219" s="3" t="s">
        <v>1063</v>
      </c>
      <c r="C219" s="3" t="s">
        <v>1153</v>
      </c>
      <c r="D219" s="3" t="s">
        <v>1154</v>
      </c>
      <c r="E219" s="3" t="s">
        <v>1155</v>
      </c>
      <c r="F219" s="3" t="s">
        <v>1139</v>
      </c>
      <c r="G219" s="3" t="s">
        <v>168</v>
      </c>
    </row>
    <row r="220" spans="1:7" x14ac:dyDescent="0.25">
      <c r="A220" s="4">
        <v>211</v>
      </c>
      <c r="B220" s="3" t="s">
        <v>1063</v>
      </c>
      <c r="C220" s="3" t="s">
        <v>1156</v>
      </c>
      <c r="D220" s="3" t="s">
        <v>1157</v>
      </c>
      <c r="E220" s="3" t="s">
        <v>1158</v>
      </c>
      <c r="F220" s="3" t="s">
        <v>1139</v>
      </c>
      <c r="G220" s="3" t="s">
        <v>168</v>
      </c>
    </row>
    <row r="221" spans="1:7" x14ac:dyDescent="0.25">
      <c r="A221" s="4">
        <v>212</v>
      </c>
      <c r="B221" s="3" t="s">
        <v>1064</v>
      </c>
      <c r="C221" s="3" t="s">
        <v>703</v>
      </c>
      <c r="D221" s="3" t="s">
        <v>704</v>
      </c>
      <c r="E221" s="3" t="s">
        <v>705</v>
      </c>
      <c r="F221" s="3" t="s">
        <v>1139</v>
      </c>
      <c r="G221" s="3" t="s">
        <v>168</v>
      </c>
    </row>
    <row r="222" spans="1:7" x14ac:dyDescent="0.25">
      <c r="A222" s="4">
        <v>213</v>
      </c>
      <c r="B222" s="3" t="s">
        <v>1064</v>
      </c>
      <c r="C222" s="3" t="s">
        <v>706</v>
      </c>
      <c r="D222" s="3" t="s">
        <v>1559</v>
      </c>
      <c r="E222" s="3" t="s">
        <v>707</v>
      </c>
      <c r="F222" s="3" t="s">
        <v>1139</v>
      </c>
      <c r="G222" s="3" t="s">
        <v>168</v>
      </c>
    </row>
    <row r="223" spans="1:7" x14ac:dyDescent="0.25">
      <c r="A223" s="4">
        <v>214</v>
      </c>
      <c r="B223" s="3" t="s">
        <v>1064</v>
      </c>
      <c r="C223" s="3" t="s">
        <v>708</v>
      </c>
      <c r="D223" s="3" t="s">
        <v>1560</v>
      </c>
      <c r="E223" s="3" t="s">
        <v>709</v>
      </c>
      <c r="F223" s="3" t="s">
        <v>1139</v>
      </c>
      <c r="G223" s="3" t="s">
        <v>168</v>
      </c>
    </row>
    <row r="224" spans="1:7" x14ac:dyDescent="0.25">
      <c r="A224" s="4">
        <v>215</v>
      </c>
      <c r="B224" s="3" t="s">
        <v>1064</v>
      </c>
      <c r="C224" s="3" t="s">
        <v>710</v>
      </c>
      <c r="D224" s="3" t="s">
        <v>711</v>
      </c>
      <c r="E224" s="3" t="s">
        <v>712</v>
      </c>
      <c r="F224" s="3" t="s">
        <v>1139</v>
      </c>
      <c r="G224" s="3" t="s">
        <v>168</v>
      </c>
    </row>
    <row r="225" spans="1:7" x14ac:dyDescent="0.25">
      <c r="A225" s="4">
        <v>216</v>
      </c>
      <c r="B225" s="3" t="s">
        <v>1064</v>
      </c>
      <c r="C225" s="3" t="s">
        <v>713</v>
      </c>
      <c r="D225" s="3" t="s">
        <v>1561</v>
      </c>
      <c r="E225" s="3" t="s">
        <v>714</v>
      </c>
      <c r="F225" s="3" t="s">
        <v>1139</v>
      </c>
      <c r="G225" s="3" t="s">
        <v>168</v>
      </c>
    </row>
    <row r="226" spans="1:7" x14ac:dyDescent="0.25">
      <c r="A226" s="4">
        <v>217</v>
      </c>
      <c r="B226" s="3" t="s">
        <v>1064</v>
      </c>
      <c r="C226" s="3" t="s">
        <v>715</v>
      </c>
      <c r="D226" s="3" t="s">
        <v>1562</v>
      </c>
      <c r="E226" s="3" t="s">
        <v>716</v>
      </c>
      <c r="F226" s="3" t="s">
        <v>1139</v>
      </c>
      <c r="G226" s="3" t="s">
        <v>168</v>
      </c>
    </row>
    <row r="227" spans="1:7" x14ac:dyDescent="0.25">
      <c r="A227" s="4">
        <v>218</v>
      </c>
      <c r="B227" s="3" t="s">
        <v>1064</v>
      </c>
      <c r="C227" s="3" t="s">
        <v>717</v>
      </c>
      <c r="D227" s="3" t="s">
        <v>718</v>
      </c>
      <c r="E227" s="3" t="s">
        <v>719</v>
      </c>
      <c r="F227" s="3" t="s">
        <v>1139</v>
      </c>
      <c r="G227" s="3" t="s">
        <v>168</v>
      </c>
    </row>
    <row r="228" spans="1:7" x14ac:dyDescent="0.25">
      <c r="A228" s="4">
        <v>219</v>
      </c>
      <c r="B228" s="3" t="s">
        <v>1064</v>
      </c>
      <c r="C228" s="3" t="s">
        <v>720</v>
      </c>
      <c r="D228" s="3" t="s">
        <v>721</v>
      </c>
      <c r="E228" s="3" t="s">
        <v>716</v>
      </c>
      <c r="F228" s="3" t="s">
        <v>1139</v>
      </c>
      <c r="G228" s="3" t="s">
        <v>168</v>
      </c>
    </row>
    <row r="229" spans="1:7" x14ac:dyDescent="0.25">
      <c r="A229" s="4">
        <v>220</v>
      </c>
      <c r="B229" s="3" t="s">
        <v>1064</v>
      </c>
      <c r="C229" s="3" t="s">
        <v>722</v>
      </c>
      <c r="D229" s="3" t="s">
        <v>723</v>
      </c>
      <c r="E229" s="3" t="s">
        <v>724</v>
      </c>
      <c r="F229" s="3" t="s">
        <v>1139</v>
      </c>
      <c r="G229" s="3" t="s">
        <v>168</v>
      </c>
    </row>
    <row r="230" spans="1:7" x14ac:dyDescent="0.25">
      <c r="A230" s="4">
        <v>221</v>
      </c>
      <c r="B230" s="3" t="s">
        <v>1568</v>
      </c>
      <c r="C230" s="3" t="s">
        <v>725</v>
      </c>
      <c r="D230" s="3" t="s">
        <v>726</v>
      </c>
      <c r="E230" s="3" t="s">
        <v>727</v>
      </c>
      <c r="F230" s="3" t="s">
        <v>1139</v>
      </c>
      <c r="G230" s="3" t="s">
        <v>168</v>
      </c>
    </row>
    <row r="231" spans="1:7" x14ac:dyDescent="0.25">
      <c r="A231" s="4">
        <v>222</v>
      </c>
      <c r="B231" s="3" t="s">
        <v>86</v>
      </c>
      <c r="C231" s="3" t="s">
        <v>728</v>
      </c>
      <c r="D231" s="3" t="s">
        <v>729</v>
      </c>
      <c r="E231" s="3" t="s">
        <v>727</v>
      </c>
      <c r="F231" s="3" t="s">
        <v>1139</v>
      </c>
      <c r="G231" s="3" t="s">
        <v>168</v>
      </c>
    </row>
    <row r="232" spans="1:7" x14ac:dyDescent="0.25">
      <c r="A232" s="4">
        <v>223</v>
      </c>
      <c r="C232" s="3" t="s">
        <v>730</v>
      </c>
      <c r="D232" s="3" t="s">
        <v>731</v>
      </c>
      <c r="E232" s="3" t="s">
        <v>732</v>
      </c>
      <c r="F232" s="3" t="s">
        <v>1139</v>
      </c>
      <c r="G232" s="3" t="s">
        <v>168</v>
      </c>
    </row>
    <row r="233" spans="1:7" x14ac:dyDescent="0.25">
      <c r="A233" s="4">
        <v>224</v>
      </c>
      <c r="B233" s="3" t="s">
        <v>1065</v>
      </c>
      <c r="C233" s="3" t="s">
        <v>733</v>
      </c>
      <c r="D233" s="3" t="s">
        <v>734</v>
      </c>
      <c r="E233" s="3" t="s">
        <v>735</v>
      </c>
      <c r="F233" s="3" t="s">
        <v>1139</v>
      </c>
      <c r="G233" s="3" t="s">
        <v>168</v>
      </c>
    </row>
    <row r="234" spans="1:7" x14ac:dyDescent="0.25">
      <c r="A234" s="4">
        <v>225</v>
      </c>
      <c r="B234" s="3" t="s">
        <v>1065</v>
      </c>
      <c r="C234" s="3" t="s">
        <v>736</v>
      </c>
      <c r="D234" s="3" t="s">
        <v>737</v>
      </c>
      <c r="E234" s="3" t="s">
        <v>738</v>
      </c>
      <c r="F234" s="3" t="s">
        <v>1139</v>
      </c>
      <c r="G234" s="3" t="s">
        <v>168</v>
      </c>
    </row>
    <row r="235" spans="1:7" x14ac:dyDescent="0.25">
      <c r="A235" s="4">
        <v>226</v>
      </c>
      <c r="B235" s="3" t="s">
        <v>1065</v>
      </c>
      <c r="C235" s="3" t="s">
        <v>739</v>
      </c>
      <c r="D235" s="3" t="s">
        <v>740</v>
      </c>
      <c r="E235" s="3" t="s">
        <v>738</v>
      </c>
      <c r="F235" s="3" t="s">
        <v>1139</v>
      </c>
      <c r="G235" s="3" t="s">
        <v>168</v>
      </c>
    </row>
    <row r="236" spans="1:7" x14ac:dyDescent="0.25">
      <c r="A236" s="4">
        <v>227</v>
      </c>
      <c r="B236" s="3" t="s">
        <v>1066</v>
      </c>
      <c r="C236" s="3" t="s">
        <v>741</v>
      </c>
      <c r="D236" s="3" t="s">
        <v>1144</v>
      </c>
      <c r="E236" s="3" t="s">
        <v>1177</v>
      </c>
      <c r="F236" s="3" t="s">
        <v>1139</v>
      </c>
      <c r="G236" s="3" t="s">
        <v>168</v>
      </c>
    </row>
    <row r="237" spans="1:7" x14ac:dyDescent="0.25">
      <c r="A237" s="4">
        <v>228</v>
      </c>
      <c r="B237" s="3" t="s">
        <v>1064</v>
      </c>
      <c r="C237" s="3" t="s">
        <v>742</v>
      </c>
      <c r="D237" s="3" t="s">
        <v>743</v>
      </c>
      <c r="E237" s="3" t="s">
        <v>744</v>
      </c>
      <c r="F237" s="3" t="s">
        <v>1139</v>
      </c>
      <c r="G237" s="3" t="s">
        <v>168</v>
      </c>
    </row>
    <row r="238" spans="1:7" x14ac:dyDescent="0.25">
      <c r="A238" s="4">
        <v>229</v>
      </c>
      <c r="B238" s="3" t="s">
        <v>1064</v>
      </c>
      <c r="C238" s="3" t="s">
        <v>745</v>
      </c>
      <c r="D238" s="3" t="s">
        <v>746</v>
      </c>
      <c r="E238" s="3" t="s">
        <v>747</v>
      </c>
      <c r="F238" s="3" t="s">
        <v>1139</v>
      </c>
      <c r="G238" s="3" t="s">
        <v>168</v>
      </c>
    </row>
    <row r="239" spans="1:7" x14ac:dyDescent="0.25">
      <c r="A239" s="4">
        <v>230</v>
      </c>
      <c r="B239" s="3" t="s">
        <v>1067</v>
      </c>
      <c r="C239" s="3" t="s">
        <v>748</v>
      </c>
      <c r="D239" s="3" t="s">
        <v>1563</v>
      </c>
      <c r="E239" s="3" t="s">
        <v>1223</v>
      </c>
      <c r="F239" s="3" t="s">
        <v>1139</v>
      </c>
      <c r="G239" s="3" t="s">
        <v>168</v>
      </c>
    </row>
    <row r="240" spans="1:7" x14ac:dyDescent="0.25">
      <c r="A240" s="4">
        <v>231</v>
      </c>
      <c r="B240" s="3" t="s">
        <v>1067</v>
      </c>
      <c r="C240" s="3" t="s">
        <v>1178</v>
      </c>
      <c r="D240" s="3" t="s">
        <v>1564</v>
      </c>
      <c r="E240" s="3" t="s">
        <v>1224</v>
      </c>
      <c r="F240" s="3" t="s">
        <v>1139</v>
      </c>
      <c r="G240" s="3" t="s">
        <v>168</v>
      </c>
    </row>
    <row r="241" spans="1:7" x14ac:dyDescent="0.25">
      <c r="A241" s="4">
        <v>232</v>
      </c>
      <c r="C241" s="3" t="s">
        <v>1265</v>
      </c>
      <c r="D241" s="3" t="s">
        <v>1266</v>
      </c>
      <c r="F241" s="3" t="s">
        <v>1139</v>
      </c>
      <c r="G241" s="3" t="s">
        <v>168</v>
      </c>
    </row>
    <row r="242" spans="1:7" x14ac:dyDescent="0.25">
      <c r="A242" s="4">
        <v>233</v>
      </c>
      <c r="B242" s="3" t="s">
        <v>1067</v>
      </c>
      <c r="C242" s="3" t="s">
        <v>1225</v>
      </c>
      <c r="D242" s="3" t="s">
        <v>1565</v>
      </c>
      <c r="E242" s="3" t="s">
        <v>1226</v>
      </c>
      <c r="F242" s="3" t="s">
        <v>1139</v>
      </c>
      <c r="G242" s="3" t="s">
        <v>168</v>
      </c>
    </row>
    <row r="243" spans="1:7" x14ac:dyDescent="0.25">
      <c r="A243" s="4">
        <v>234</v>
      </c>
      <c r="B243" s="3" t="s">
        <v>1267</v>
      </c>
      <c r="C243" s="3" t="s">
        <v>1268</v>
      </c>
      <c r="D243" s="3" t="s">
        <v>1566</v>
      </c>
      <c r="E243" s="3" t="s">
        <v>1269</v>
      </c>
      <c r="F243" s="3" t="s">
        <v>1139</v>
      </c>
      <c r="G243" s="3" t="s">
        <v>168</v>
      </c>
    </row>
    <row r="244" spans="1:7" x14ac:dyDescent="0.25">
      <c r="A244" s="4">
        <v>235</v>
      </c>
      <c r="B244" s="3" t="s">
        <v>1267</v>
      </c>
      <c r="C244" s="3" t="s">
        <v>1373</v>
      </c>
      <c r="D244" s="3" t="s">
        <v>1378</v>
      </c>
      <c r="E244" s="3" t="s">
        <v>1504</v>
      </c>
      <c r="F244" s="3" t="s">
        <v>1139</v>
      </c>
      <c r="G244" s="3" t="s">
        <v>168</v>
      </c>
    </row>
    <row r="245" spans="1:7" x14ac:dyDescent="0.25">
      <c r="A245" s="4">
        <v>236</v>
      </c>
      <c r="B245" s="3" t="s">
        <v>1267</v>
      </c>
      <c r="C245" s="3" t="s">
        <v>1352</v>
      </c>
      <c r="D245" s="3" t="s">
        <v>1353</v>
      </c>
      <c r="E245" s="3" t="s">
        <v>1354</v>
      </c>
      <c r="F245" s="3" t="s">
        <v>1139</v>
      </c>
      <c r="G245" s="3" t="s">
        <v>168</v>
      </c>
    </row>
    <row r="246" spans="1:7" x14ac:dyDescent="0.25">
      <c r="A246" s="4">
        <v>237</v>
      </c>
      <c r="B246" s="3" t="s">
        <v>1267</v>
      </c>
      <c r="C246" s="3" t="s">
        <v>1355</v>
      </c>
      <c r="D246" s="3" t="s">
        <v>1356</v>
      </c>
      <c r="E246" s="3" t="s">
        <v>1269</v>
      </c>
      <c r="F246" s="3" t="s">
        <v>1139</v>
      </c>
      <c r="G246" s="3" t="s">
        <v>168</v>
      </c>
    </row>
    <row r="247" spans="1:7" x14ac:dyDescent="0.25">
      <c r="A247" s="4">
        <v>238</v>
      </c>
      <c r="C247" s="3" t="s">
        <v>1569</v>
      </c>
      <c r="D247" s="3" t="s">
        <v>1570</v>
      </c>
      <c r="F247" s="3" t="s">
        <v>1139</v>
      </c>
      <c r="G247" s="3" t="s">
        <v>168</v>
      </c>
    </row>
    <row r="248" spans="1:7" x14ac:dyDescent="0.25">
      <c r="A248" s="4">
        <v>239</v>
      </c>
      <c r="B248" s="3" t="s">
        <v>1068</v>
      </c>
      <c r="C248" s="3" t="s">
        <v>169</v>
      </c>
      <c r="D248" s="3" t="s">
        <v>170</v>
      </c>
      <c r="E248" s="3" t="s">
        <v>204</v>
      </c>
      <c r="F248" s="3" t="s">
        <v>1145</v>
      </c>
      <c r="G248" s="3" t="s">
        <v>168</v>
      </c>
    </row>
    <row r="249" spans="1:7" x14ac:dyDescent="0.25">
      <c r="A249" s="4">
        <v>240</v>
      </c>
      <c r="B249" s="3" t="s">
        <v>1068</v>
      </c>
      <c r="C249" s="3" t="s">
        <v>171</v>
      </c>
      <c r="D249" s="3" t="s">
        <v>172</v>
      </c>
      <c r="E249" s="3" t="s">
        <v>1071</v>
      </c>
      <c r="F249" s="3" t="s">
        <v>1145</v>
      </c>
      <c r="G249" s="3" t="s">
        <v>168</v>
      </c>
    </row>
    <row r="250" spans="1:7" x14ac:dyDescent="0.25">
      <c r="A250" s="4">
        <v>241</v>
      </c>
      <c r="B250" s="3" t="s">
        <v>1068</v>
      </c>
      <c r="C250" s="3" t="s">
        <v>173</v>
      </c>
      <c r="D250" s="3" t="s">
        <v>174</v>
      </c>
      <c r="E250" s="3" t="s">
        <v>199</v>
      </c>
      <c r="F250" s="3" t="s">
        <v>1145</v>
      </c>
      <c r="G250" s="3" t="s">
        <v>168</v>
      </c>
    </row>
    <row r="251" spans="1:7" x14ac:dyDescent="0.25">
      <c r="A251" s="4">
        <v>242</v>
      </c>
      <c r="B251" s="3" t="s">
        <v>1068</v>
      </c>
      <c r="C251" s="3" t="s">
        <v>175</v>
      </c>
      <c r="D251" s="3" t="s">
        <v>176</v>
      </c>
      <c r="E251" s="3" t="s">
        <v>200</v>
      </c>
      <c r="F251" s="3" t="s">
        <v>1145</v>
      </c>
      <c r="G251" s="3" t="s">
        <v>168</v>
      </c>
    </row>
    <row r="252" spans="1:7" x14ac:dyDescent="0.25">
      <c r="A252" s="4">
        <v>243</v>
      </c>
      <c r="B252" s="3" t="s">
        <v>1068</v>
      </c>
      <c r="C252" s="3" t="s">
        <v>177</v>
      </c>
      <c r="D252" s="3" t="s">
        <v>178</v>
      </c>
      <c r="E252" s="3" t="s">
        <v>201</v>
      </c>
      <c r="F252" s="3" t="s">
        <v>1145</v>
      </c>
      <c r="G252" s="3" t="s">
        <v>168</v>
      </c>
    </row>
    <row r="253" spans="1:7" x14ac:dyDescent="0.25">
      <c r="A253" s="4">
        <v>244</v>
      </c>
      <c r="B253" s="3" t="s">
        <v>1068</v>
      </c>
      <c r="C253" s="3" t="s">
        <v>179</v>
      </c>
      <c r="D253" s="3" t="s">
        <v>881</v>
      </c>
      <c r="E253" s="3" t="s">
        <v>202</v>
      </c>
      <c r="F253" s="3" t="s">
        <v>1145</v>
      </c>
      <c r="G253" s="3" t="s">
        <v>168</v>
      </c>
    </row>
    <row r="254" spans="1:7" x14ac:dyDescent="0.25">
      <c r="A254" s="4">
        <v>245</v>
      </c>
      <c r="B254" s="3" t="s">
        <v>1068</v>
      </c>
      <c r="C254" s="3" t="s">
        <v>1027</v>
      </c>
      <c r="D254" s="3" t="s">
        <v>1028</v>
      </c>
      <c r="E254" s="3" t="s">
        <v>1029</v>
      </c>
      <c r="F254" s="3" t="s">
        <v>1145</v>
      </c>
      <c r="G254" s="3" t="s">
        <v>168</v>
      </c>
    </row>
    <row r="255" spans="1:7" x14ac:dyDescent="0.25">
      <c r="A255" s="4">
        <v>246</v>
      </c>
      <c r="B255" s="3" t="s">
        <v>1068</v>
      </c>
      <c r="C255" s="3" t="s">
        <v>1297</v>
      </c>
      <c r="D255" s="3" t="s">
        <v>1298</v>
      </c>
      <c r="E255" s="3" t="s">
        <v>1299</v>
      </c>
      <c r="F255" s="3" t="s">
        <v>1145</v>
      </c>
      <c r="G255" s="3" t="s">
        <v>168</v>
      </c>
    </row>
    <row r="256" spans="1:7" x14ac:dyDescent="0.25">
      <c r="A256" s="4">
        <v>247</v>
      </c>
      <c r="B256" s="3" t="s">
        <v>1068</v>
      </c>
      <c r="C256" s="3" t="s">
        <v>1030</v>
      </c>
      <c r="D256" s="3" t="s">
        <v>1031</v>
      </c>
      <c r="E256" s="3" t="s">
        <v>1300</v>
      </c>
      <c r="F256" s="3" t="s">
        <v>1145</v>
      </c>
      <c r="G256" s="3" t="s">
        <v>168</v>
      </c>
    </row>
    <row r="257" spans="1:7" x14ac:dyDescent="0.25">
      <c r="A257" s="4">
        <v>248</v>
      </c>
      <c r="B257" s="3" t="s">
        <v>1068</v>
      </c>
      <c r="C257" s="3" t="s">
        <v>1116</v>
      </c>
      <c r="D257" s="3" t="s">
        <v>1117</v>
      </c>
      <c r="E257" s="3" t="s">
        <v>1118</v>
      </c>
      <c r="F257" s="3" t="s">
        <v>1145</v>
      </c>
      <c r="G257" s="3" t="s">
        <v>168</v>
      </c>
    </row>
    <row r="258" spans="1:7" x14ac:dyDescent="0.25">
      <c r="A258" s="4">
        <v>249</v>
      </c>
      <c r="B258" s="3" t="s">
        <v>1179</v>
      </c>
      <c r="C258" s="3" t="s">
        <v>1119</v>
      </c>
      <c r="D258" s="3" t="s">
        <v>1146</v>
      </c>
      <c r="E258" s="3" t="s">
        <v>1270</v>
      </c>
      <c r="F258" s="3" t="s">
        <v>1145</v>
      </c>
      <c r="G258" s="3" t="s">
        <v>168</v>
      </c>
    </row>
    <row r="259" spans="1:7" x14ac:dyDescent="0.25">
      <c r="A259" s="4">
        <v>250</v>
      </c>
      <c r="B259" s="3" t="s">
        <v>1063</v>
      </c>
      <c r="C259" s="3" t="s">
        <v>1120</v>
      </c>
      <c r="D259" s="3" t="s">
        <v>1121</v>
      </c>
      <c r="E259" s="3" t="s">
        <v>1159</v>
      </c>
      <c r="F259" s="3" t="s">
        <v>1145</v>
      </c>
      <c r="G259" s="3" t="s">
        <v>168</v>
      </c>
    </row>
    <row r="260" spans="1:7" x14ac:dyDescent="0.25">
      <c r="A260" s="4">
        <v>251</v>
      </c>
      <c r="B260" s="3" t="s">
        <v>1179</v>
      </c>
      <c r="C260" s="3" t="s">
        <v>1122</v>
      </c>
      <c r="D260" s="3" t="s">
        <v>1198</v>
      </c>
      <c r="E260" s="3" t="s">
        <v>1199</v>
      </c>
      <c r="F260" s="3" t="s">
        <v>1145</v>
      </c>
      <c r="G260" s="3" t="s">
        <v>168</v>
      </c>
    </row>
    <row r="261" spans="1:7" x14ac:dyDescent="0.25">
      <c r="A261" s="4">
        <v>252</v>
      </c>
      <c r="B261" s="3" t="s">
        <v>1179</v>
      </c>
      <c r="C261" s="3" t="s">
        <v>1123</v>
      </c>
      <c r="D261" s="3" t="s">
        <v>1271</v>
      </c>
      <c r="E261" s="3" t="s">
        <v>1272</v>
      </c>
      <c r="F261" s="3" t="s">
        <v>1145</v>
      </c>
      <c r="G261" s="3" t="s">
        <v>168</v>
      </c>
    </row>
    <row r="262" spans="1:7" x14ac:dyDescent="0.25">
      <c r="A262" s="4">
        <v>253</v>
      </c>
      <c r="B262" s="3" t="s">
        <v>1179</v>
      </c>
      <c r="C262" s="3" t="s">
        <v>1124</v>
      </c>
      <c r="D262" s="3" t="s">
        <v>1273</v>
      </c>
      <c r="E262" s="3" t="s">
        <v>1274</v>
      </c>
      <c r="F262" s="3" t="s">
        <v>1145</v>
      </c>
      <c r="G262" s="3" t="s">
        <v>168</v>
      </c>
    </row>
    <row r="263" spans="1:7" x14ac:dyDescent="0.25">
      <c r="A263" s="4">
        <v>254</v>
      </c>
      <c r="B263" s="3" t="s">
        <v>1179</v>
      </c>
      <c r="C263" s="3" t="s">
        <v>1357</v>
      </c>
      <c r="D263" s="3" t="s">
        <v>1358</v>
      </c>
      <c r="E263" s="3" t="s">
        <v>1359</v>
      </c>
      <c r="F263" s="3" t="s">
        <v>1145</v>
      </c>
      <c r="G263" s="3" t="s">
        <v>168</v>
      </c>
    </row>
    <row r="264" spans="1:7" x14ac:dyDescent="0.25">
      <c r="A264" s="4">
        <v>255</v>
      </c>
      <c r="B264" s="3" t="s">
        <v>1068</v>
      </c>
      <c r="C264" s="3" t="s">
        <v>1399</v>
      </c>
      <c r="D264" s="3" t="s">
        <v>1505</v>
      </c>
      <c r="E264" s="3" t="s">
        <v>1506</v>
      </c>
      <c r="F264" s="3" t="s">
        <v>1145</v>
      </c>
      <c r="G264" s="3" t="s">
        <v>168</v>
      </c>
    </row>
    <row r="265" spans="1:7" x14ac:dyDescent="0.25">
      <c r="A265" s="4">
        <v>256</v>
      </c>
      <c r="B265" s="3" t="s">
        <v>1068</v>
      </c>
      <c r="C265" s="3" t="s">
        <v>1507</v>
      </c>
      <c r="D265" s="3" t="s">
        <v>1508</v>
      </c>
      <c r="E265" s="3" t="s">
        <v>1509</v>
      </c>
      <c r="F265" s="3" t="s">
        <v>1145</v>
      </c>
      <c r="G265" s="3" t="s">
        <v>168</v>
      </c>
    </row>
    <row r="266" spans="1:7" x14ac:dyDescent="0.25">
      <c r="A266" s="4">
        <v>257</v>
      </c>
      <c r="B266" s="3" t="s">
        <v>1063</v>
      </c>
      <c r="C266" s="3" t="s">
        <v>1360</v>
      </c>
      <c r="D266" s="3" t="s">
        <v>1361</v>
      </c>
      <c r="E266" s="3" t="s">
        <v>1200</v>
      </c>
      <c r="F266" s="3" t="s">
        <v>1145</v>
      </c>
      <c r="G266" s="3" t="s">
        <v>168</v>
      </c>
    </row>
    <row r="267" spans="1:7" x14ac:dyDescent="0.25">
      <c r="A267" s="4">
        <v>258</v>
      </c>
      <c r="C267" s="3" t="s">
        <v>1348</v>
      </c>
      <c r="D267" s="3" t="s">
        <v>1349</v>
      </c>
      <c r="F267" s="3" t="s">
        <v>1145</v>
      </c>
      <c r="G267" s="3" t="s">
        <v>168</v>
      </c>
    </row>
    <row r="268" spans="1:7" x14ac:dyDescent="0.25">
      <c r="A268" s="4">
        <v>259</v>
      </c>
      <c r="B268" s="3" t="s">
        <v>1063</v>
      </c>
      <c r="C268" s="3" t="s">
        <v>1350</v>
      </c>
      <c r="D268" s="3" t="s">
        <v>1351</v>
      </c>
      <c r="E268" s="3" t="s">
        <v>1204</v>
      </c>
      <c r="F268" s="3" t="s">
        <v>1145</v>
      </c>
      <c r="G268" s="3" t="s">
        <v>168</v>
      </c>
    </row>
    <row r="269" spans="1:7" x14ac:dyDescent="0.25">
      <c r="A269" s="4">
        <v>260</v>
      </c>
      <c r="B269" s="3" t="s">
        <v>1068</v>
      </c>
      <c r="C269" s="3" t="s">
        <v>180</v>
      </c>
      <c r="D269" s="3" t="s">
        <v>181</v>
      </c>
      <c r="E269" s="3" t="s">
        <v>197</v>
      </c>
      <c r="F269" s="3" t="s">
        <v>1145</v>
      </c>
      <c r="G269" s="3" t="s">
        <v>168</v>
      </c>
    </row>
    <row r="270" spans="1:7" x14ac:dyDescent="0.25">
      <c r="A270" s="4">
        <v>261</v>
      </c>
      <c r="B270" s="3" t="s">
        <v>1068</v>
      </c>
      <c r="C270" s="3" t="s">
        <v>182</v>
      </c>
      <c r="D270" s="3" t="s">
        <v>183</v>
      </c>
      <c r="E270" s="3" t="s">
        <v>203</v>
      </c>
      <c r="F270" s="3" t="s">
        <v>1145</v>
      </c>
      <c r="G270" s="3" t="s">
        <v>168</v>
      </c>
    </row>
    <row r="271" spans="1:7" x14ac:dyDescent="0.25">
      <c r="A271" s="4">
        <v>262</v>
      </c>
      <c r="B271" s="3" t="s">
        <v>1068</v>
      </c>
      <c r="C271" s="3" t="s">
        <v>184</v>
      </c>
      <c r="D271" s="3" t="s">
        <v>185</v>
      </c>
      <c r="E271" s="3" t="s">
        <v>205</v>
      </c>
      <c r="F271" s="3" t="s">
        <v>1145</v>
      </c>
      <c r="G271" s="3" t="s">
        <v>168</v>
      </c>
    </row>
    <row r="272" spans="1:7" x14ac:dyDescent="0.25">
      <c r="A272" s="4">
        <v>263</v>
      </c>
      <c r="B272" s="3" t="s">
        <v>1068</v>
      </c>
      <c r="C272" s="3" t="s">
        <v>186</v>
      </c>
      <c r="D272" s="3" t="s">
        <v>187</v>
      </c>
      <c r="E272" s="3" t="s">
        <v>198</v>
      </c>
      <c r="F272" s="3" t="s">
        <v>1145</v>
      </c>
      <c r="G272" s="3" t="s">
        <v>168</v>
      </c>
    </row>
    <row r="273" spans="1:7" x14ac:dyDescent="0.25">
      <c r="A273" s="4">
        <v>264</v>
      </c>
      <c r="B273" s="3" t="s">
        <v>1068</v>
      </c>
      <c r="C273" s="3" t="s">
        <v>188</v>
      </c>
      <c r="D273" s="3" t="s">
        <v>189</v>
      </c>
      <c r="E273" s="3" t="s">
        <v>882</v>
      </c>
      <c r="F273" s="3" t="s">
        <v>1145</v>
      </c>
      <c r="G273" s="3" t="s">
        <v>168</v>
      </c>
    </row>
    <row r="274" spans="1:7" x14ac:dyDescent="0.25">
      <c r="A274" s="4">
        <v>265</v>
      </c>
      <c r="B274" s="3" t="s">
        <v>1068</v>
      </c>
      <c r="C274" s="3" t="s">
        <v>190</v>
      </c>
      <c r="D274" s="3" t="s">
        <v>883</v>
      </c>
      <c r="E274" s="3" t="s">
        <v>884</v>
      </c>
      <c r="F274" s="3" t="s">
        <v>1145</v>
      </c>
      <c r="G274" s="3" t="s">
        <v>168</v>
      </c>
    </row>
    <row r="275" spans="1:7" x14ac:dyDescent="0.25">
      <c r="A275" s="4">
        <v>266</v>
      </c>
      <c r="B275" s="3" t="s">
        <v>1068</v>
      </c>
      <c r="C275" s="3" t="s">
        <v>885</v>
      </c>
      <c r="D275" s="3" t="s">
        <v>886</v>
      </c>
      <c r="E275" s="3" t="s">
        <v>1312</v>
      </c>
      <c r="F275" s="3" t="s">
        <v>1145</v>
      </c>
      <c r="G275" s="3" t="s">
        <v>168</v>
      </c>
    </row>
    <row r="276" spans="1:7" x14ac:dyDescent="0.25">
      <c r="A276" s="4">
        <v>267</v>
      </c>
      <c r="B276" s="3" t="s">
        <v>1068</v>
      </c>
      <c r="C276" s="3" t="s">
        <v>887</v>
      </c>
      <c r="D276" s="3" t="s">
        <v>1313</v>
      </c>
      <c r="E276" s="3" t="s">
        <v>1314</v>
      </c>
      <c r="F276" s="3" t="s">
        <v>1145</v>
      </c>
      <c r="G276" s="3" t="s">
        <v>168</v>
      </c>
    </row>
    <row r="277" spans="1:7" x14ac:dyDescent="0.25">
      <c r="A277" s="4">
        <v>268</v>
      </c>
      <c r="B277" s="3" t="s">
        <v>1068</v>
      </c>
      <c r="C277" s="3" t="s">
        <v>1032</v>
      </c>
      <c r="D277" s="3" t="s">
        <v>1033</v>
      </c>
      <c r="E277" s="3" t="s">
        <v>1086</v>
      </c>
      <c r="F277" s="3" t="s">
        <v>1145</v>
      </c>
      <c r="G277" s="3" t="s">
        <v>168</v>
      </c>
    </row>
    <row r="278" spans="1:7" x14ac:dyDescent="0.25">
      <c r="A278" s="4">
        <v>269</v>
      </c>
      <c r="B278" s="3" t="s">
        <v>1068</v>
      </c>
      <c r="C278" s="3" t="s">
        <v>1301</v>
      </c>
      <c r="D278" s="3" t="s">
        <v>1302</v>
      </c>
      <c r="E278" s="3" t="s">
        <v>1303</v>
      </c>
      <c r="F278" s="3" t="s">
        <v>1145</v>
      </c>
      <c r="G278" s="3" t="s">
        <v>168</v>
      </c>
    </row>
    <row r="279" spans="1:7" x14ac:dyDescent="0.25">
      <c r="A279" s="4">
        <v>270</v>
      </c>
      <c r="B279" s="3" t="s">
        <v>1068</v>
      </c>
      <c r="C279" s="3" t="s">
        <v>1304</v>
      </c>
      <c r="D279" s="3" t="s">
        <v>1305</v>
      </c>
      <c r="E279" s="3" t="s">
        <v>1306</v>
      </c>
      <c r="F279" s="3" t="s">
        <v>1145</v>
      </c>
      <c r="G279" s="3" t="s">
        <v>168</v>
      </c>
    </row>
    <row r="280" spans="1:7" x14ac:dyDescent="0.25">
      <c r="A280" s="4">
        <v>271</v>
      </c>
      <c r="B280" s="3" t="s">
        <v>1068</v>
      </c>
      <c r="C280" s="3" t="s">
        <v>1125</v>
      </c>
      <c r="D280" s="3" t="s">
        <v>1126</v>
      </c>
      <c r="E280" s="3" t="s">
        <v>1127</v>
      </c>
      <c r="F280" s="3" t="s">
        <v>1145</v>
      </c>
      <c r="G280" s="3" t="s">
        <v>168</v>
      </c>
    </row>
    <row r="281" spans="1:7" x14ac:dyDescent="0.25">
      <c r="A281" s="4">
        <v>272</v>
      </c>
      <c r="B281" s="3" t="s">
        <v>1068</v>
      </c>
      <c r="C281" s="3" t="s">
        <v>1128</v>
      </c>
      <c r="D281" s="3" t="s">
        <v>1129</v>
      </c>
      <c r="E281" s="3" t="s">
        <v>1130</v>
      </c>
      <c r="F281" s="3" t="s">
        <v>1145</v>
      </c>
      <c r="G281" s="3" t="s">
        <v>168</v>
      </c>
    </row>
    <row r="282" spans="1:7" x14ac:dyDescent="0.25">
      <c r="A282" s="4">
        <v>273</v>
      </c>
      <c r="B282" s="3" t="s">
        <v>1068</v>
      </c>
      <c r="C282" s="3" t="s">
        <v>1362</v>
      </c>
      <c r="D282" s="3" t="s">
        <v>1363</v>
      </c>
      <c r="E282" s="3" t="s">
        <v>1364</v>
      </c>
      <c r="F282" s="3" t="s">
        <v>1145</v>
      </c>
      <c r="G282" s="3" t="s">
        <v>168</v>
      </c>
    </row>
    <row r="283" spans="1:7" x14ac:dyDescent="0.25">
      <c r="A283" s="4">
        <v>274</v>
      </c>
      <c r="B283" s="3" t="s">
        <v>1068</v>
      </c>
      <c r="C283" s="3" t="s">
        <v>1365</v>
      </c>
      <c r="D283" s="3" t="s">
        <v>1366</v>
      </c>
      <c r="E283" s="3" t="s">
        <v>1367</v>
      </c>
      <c r="F283" s="3" t="s">
        <v>1145</v>
      </c>
      <c r="G283" s="3" t="s">
        <v>168</v>
      </c>
    </row>
    <row r="284" spans="1:7" x14ac:dyDescent="0.25">
      <c r="A284" s="4">
        <v>275</v>
      </c>
      <c r="B284" s="3" t="s">
        <v>1068</v>
      </c>
      <c r="C284" s="3" t="s">
        <v>1400</v>
      </c>
      <c r="D284" s="3" t="s">
        <v>1510</v>
      </c>
      <c r="E284" s="3" t="s">
        <v>1401</v>
      </c>
      <c r="F284" s="3" t="s">
        <v>1145</v>
      </c>
      <c r="G284" s="3" t="s">
        <v>168</v>
      </c>
    </row>
    <row r="285" spans="1:7" x14ac:dyDescent="0.25">
      <c r="A285" s="4">
        <v>276</v>
      </c>
      <c r="B285" s="3" t="s">
        <v>1068</v>
      </c>
      <c r="C285" s="3" t="s">
        <v>1511</v>
      </c>
      <c r="D285" s="3" t="s">
        <v>1512</v>
      </c>
      <c r="E285" s="3" t="s">
        <v>1513</v>
      </c>
      <c r="F285" s="3" t="s">
        <v>1145</v>
      </c>
      <c r="G285" s="3" t="s">
        <v>168</v>
      </c>
    </row>
    <row r="286" spans="1:7" x14ac:dyDescent="0.25">
      <c r="A286" s="4">
        <v>277</v>
      </c>
      <c r="B286" s="3" t="s">
        <v>1068</v>
      </c>
      <c r="C286" s="3" t="s">
        <v>1034</v>
      </c>
      <c r="D286" s="3" t="s">
        <v>1035</v>
      </c>
      <c r="E286" s="3" t="s">
        <v>908</v>
      </c>
      <c r="F286" s="3" t="s">
        <v>1145</v>
      </c>
      <c r="G286" s="3" t="s">
        <v>168</v>
      </c>
    </row>
    <row r="287" spans="1:7" x14ac:dyDescent="0.25">
      <c r="A287" s="4">
        <v>278</v>
      </c>
      <c r="B287" s="3" t="s">
        <v>1068</v>
      </c>
      <c r="C287" s="3" t="s">
        <v>1036</v>
      </c>
      <c r="D287" s="3" t="s">
        <v>1037</v>
      </c>
      <c r="E287" s="3" t="s">
        <v>1092</v>
      </c>
      <c r="F287" s="3" t="s">
        <v>1145</v>
      </c>
      <c r="G287" s="3" t="s">
        <v>168</v>
      </c>
    </row>
    <row r="288" spans="1:7" x14ac:dyDescent="0.25">
      <c r="A288" s="4">
        <v>279</v>
      </c>
      <c r="B288" s="3" t="s">
        <v>1068</v>
      </c>
      <c r="C288" s="3" t="s">
        <v>1038</v>
      </c>
      <c r="D288" s="3" t="s">
        <v>1160</v>
      </c>
      <c r="E288" s="3" t="s">
        <v>1039</v>
      </c>
      <c r="F288" s="3" t="s">
        <v>1145</v>
      </c>
      <c r="G288" s="3" t="s">
        <v>168</v>
      </c>
    </row>
    <row r="289" spans="1:7" x14ac:dyDescent="0.25">
      <c r="A289" s="4">
        <v>280</v>
      </c>
      <c r="B289" s="3" t="s">
        <v>1068</v>
      </c>
      <c r="C289" s="3" t="s">
        <v>1040</v>
      </c>
      <c r="D289" s="3" t="s">
        <v>1041</v>
      </c>
      <c r="E289" s="3" t="s">
        <v>1049</v>
      </c>
      <c r="F289" s="3" t="s">
        <v>1145</v>
      </c>
      <c r="G289" s="3" t="s">
        <v>168</v>
      </c>
    </row>
    <row r="290" spans="1:7" x14ac:dyDescent="0.25">
      <c r="A290" s="4">
        <v>281</v>
      </c>
      <c r="B290" s="3" t="s">
        <v>1068</v>
      </c>
      <c r="C290" s="3" t="s">
        <v>1042</v>
      </c>
      <c r="D290" s="3" t="s">
        <v>1043</v>
      </c>
      <c r="E290" s="3" t="s">
        <v>1050</v>
      </c>
      <c r="F290" s="3" t="s">
        <v>1145</v>
      </c>
      <c r="G290" s="3" t="s">
        <v>168</v>
      </c>
    </row>
    <row r="291" spans="1:7" x14ac:dyDescent="0.25">
      <c r="A291" s="4">
        <v>282</v>
      </c>
      <c r="B291" s="3" t="s">
        <v>1068</v>
      </c>
      <c r="C291" s="3" t="s">
        <v>1044</v>
      </c>
      <c r="D291" s="3" t="s">
        <v>1087</v>
      </c>
      <c r="E291" s="3" t="s">
        <v>1088</v>
      </c>
      <c r="F291" s="3" t="s">
        <v>1145</v>
      </c>
      <c r="G291" s="3" t="s">
        <v>168</v>
      </c>
    </row>
    <row r="292" spans="1:7" x14ac:dyDescent="0.25">
      <c r="A292" s="4">
        <v>283</v>
      </c>
      <c r="B292" s="3" t="s">
        <v>1068</v>
      </c>
      <c r="C292" s="3" t="s">
        <v>1089</v>
      </c>
      <c r="D292" s="3" t="s">
        <v>1090</v>
      </c>
      <c r="E292" s="3" t="s">
        <v>1091</v>
      </c>
      <c r="F292" s="3" t="s">
        <v>1145</v>
      </c>
      <c r="G292" s="3" t="s">
        <v>168</v>
      </c>
    </row>
    <row r="293" spans="1:7" x14ac:dyDescent="0.25">
      <c r="A293" s="4">
        <v>284</v>
      </c>
      <c r="B293" s="3" t="s">
        <v>1068</v>
      </c>
      <c r="C293" s="3" t="s">
        <v>1275</v>
      </c>
      <c r="D293" s="3" t="s">
        <v>1276</v>
      </c>
      <c r="E293" s="3" t="s">
        <v>1277</v>
      </c>
      <c r="F293" s="3" t="s">
        <v>1145</v>
      </c>
      <c r="G293" s="3" t="s">
        <v>168</v>
      </c>
    </row>
    <row r="294" spans="1:7" x14ac:dyDescent="0.25">
      <c r="A294" s="4">
        <v>285</v>
      </c>
      <c r="B294" s="3" t="s">
        <v>1068</v>
      </c>
      <c r="C294" s="3" t="s">
        <v>1161</v>
      </c>
      <c r="D294" s="3" t="s">
        <v>1162</v>
      </c>
      <c r="E294" s="3" t="s">
        <v>1163</v>
      </c>
      <c r="F294" s="3" t="s">
        <v>1145</v>
      </c>
      <c r="G294" s="3" t="s">
        <v>168</v>
      </c>
    </row>
    <row r="295" spans="1:7" x14ac:dyDescent="0.25">
      <c r="A295" s="4">
        <v>286</v>
      </c>
      <c r="B295" s="3" t="s">
        <v>1068</v>
      </c>
      <c r="C295" s="3" t="s">
        <v>1278</v>
      </c>
      <c r="D295" s="3" t="s">
        <v>1279</v>
      </c>
      <c r="E295" s="3" t="s">
        <v>1280</v>
      </c>
      <c r="F295" s="3" t="s">
        <v>1145</v>
      </c>
      <c r="G295" s="3" t="s">
        <v>168</v>
      </c>
    </row>
    <row r="296" spans="1:7" x14ac:dyDescent="0.25">
      <c r="A296" s="4">
        <v>287</v>
      </c>
      <c r="B296" s="3" t="s">
        <v>1068</v>
      </c>
      <c r="C296" s="3" t="s">
        <v>1281</v>
      </c>
      <c r="D296" s="3" t="s">
        <v>1282</v>
      </c>
      <c r="E296" s="3" t="s">
        <v>1283</v>
      </c>
      <c r="F296" s="3" t="s">
        <v>1145</v>
      </c>
      <c r="G296" s="3" t="s">
        <v>168</v>
      </c>
    </row>
    <row r="297" spans="1:7" x14ac:dyDescent="0.25">
      <c r="A297" s="4">
        <v>288</v>
      </c>
      <c r="B297" s="3" t="s">
        <v>1068</v>
      </c>
      <c r="C297" s="3" t="s">
        <v>1284</v>
      </c>
      <c r="D297" s="3" t="s">
        <v>1285</v>
      </c>
      <c r="E297" s="3" t="s">
        <v>1286</v>
      </c>
      <c r="F297" s="3" t="s">
        <v>1145</v>
      </c>
      <c r="G297" s="3" t="s">
        <v>168</v>
      </c>
    </row>
    <row r="298" spans="1:7" x14ac:dyDescent="0.25">
      <c r="A298" s="4">
        <v>289</v>
      </c>
      <c r="C298" s="3" t="s">
        <v>749</v>
      </c>
      <c r="D298" s="3" t="s">
        <v>750</v>
      </c>
      <c r="F298" s="3" t="s">
        <v>1147</v>
      </c>
      <c r="G298" s="3" t="s">
        <v>168</v>
      </c>
    </row>
    <row r="299" spans="1:7" x14ac:dyDescent="0.25">
      <c r="A299" s="4">
        <v>290</v>
      </c>
      <c r="B299" s="3" t="s">
        <v>1069</v>
      </c>
      <c r="C299" s="3" t="s">
        <v>751</v>
      </c>
      <c r="D299" s="3" t="s">
        <v>752</v>
      </c>
      <c r="E299" s="3" t="s">
        <v>753</v>
      </c>
      <c r="F299" s="3" t="s">
        <v>1147</v>
      </c>
      <c r="G299" s="3" t="s">
        <v>168</v>
      </c>
    </row>
    <row r="300" spans="1:7" x14ac:dyDescent="0.25">
      <c r="A300" s="4">
        <v>291</v>
      </c>
      <c r="C300" s="3" t="s">
        <v>754</v>
      </c>
      <c r="D300" s="3" t="s">
        <v>755</v>
      </c>
      <c r="F300" s="3" t="s">
        <v>1147</v>
      </c>
      <c r="G300" s="3" t="s">
        <v>168</v>
      </c>
    </row>
    <row r="301" spans="1:7" x14ac:dyDescent="0.25">
      <c r="A301" s="4">
        <v>292</v>
      </c>
      <c r="B301" s="3" t="s">
        <v>1069</v>
      </c>
      <c r="C301" s="3" t="s">
        <v>756</v>
      </c>
      <c r="D301" s="3" t="s">
        <v>757</v>
      </c>
      <c r="E301" s="3" t="s">
        <v>1051</v>
      </c>
      <c r="F301" s="3" t="s">
        <v>1147</v>
      </c>
      <c r="G301" s="3" t="s">
        <v>168</v>
      </c>
    </row>
    <row r="302" spans="1:7" x14ac:dyDescent="0.25">
      <c r="A302" s="4">
        <v>293</v>
      </c>
      <c r="B302" s="3" t="s">
        <v>1069</v>
      </c>
      <c r="C302" s="3" t="s">
        <v>758</v>
      </c>
      <c r="D302" s="3" t="s">
        <v>759</v>
      </c>
      <c r="E302" s="3" t="s">
        <v>760</v>
      </c>
      <c r="F302" s="3" t="s">
        <v>1147</v>
      </c>
      <c r="G302" s="3" t="s">
        <v>168</v>
      </c>
    </row>
    <row r="303" spans="1:7" x14ac:dyDescent="0.25">
      <c r="A303" s="4">
        <v>294</v>
      </c>
      <c r="C303" s="3" t="s">
        <v>761</v>
      </c>
      <c r="D303" s="3" t="s">
        <v>762</v>
      </c>
      <c r="F303" s="3" t="s">
        <v>1147</v>
      </c>
      <c r="G303" s="3" t="s">
        <v>168</v>
      </c>
    </row>
    <row r="304" spans="1:7" x14ac:dyDescent="0.25">
      <c r="A304" s="4">
        <v>295</v>
      </c>
      <c r="B304" s="3" t="s">
        <v>1069</v>
      </c>
      <c r="C304" s="3" t="s">
        <v>763</v>
      </c>
      <c r="D304" s="3" t="s">
        <v>764</v>
      </c>
      <c r="F304" s="3" t="s">
        <v>1147</v>
      </c>
      <c r="G304" s="3" t="s">
        <v>168</v>
      </c>
    </row>
    <row r="305" spans="1:7" x14ac:dyDescent="0.25">
      <c r="A305" s="4">
        <v>296</v>
      </c>
      <c r="B305" s="3" t="s">
        <v>1069</v>
      </c>
      <c r="C305" s="3" t="s">
        <v>765</v>
      </c>
      <c r="D305" s="3" t="s">
        <v>766</v>
      </c>
      <c r="E305" s="3" t="s">
        <v>767</v>
      </c>
      <c r="F305" s="3" t="s">
        <v>1147</v>
      </c>
      <c r="G305" s="3" t="s">
        <v>168</v>
      </c>
    </row>
    <row r="306" spans="1:7" x14ac:dyDescent="0.25">
      <c r="A306" s="4">
        <v>297</v>
      </c>
      <c r="C306" s="3" t="s">
        <v>768</v>
      </c>
      <c r="D306" s="3" t="s">
        <v>769</v>
      </c>
      <c r="E306" s="3" t="s">
        <v>770</v>
      </c>
      <c r="F306" s="3" t="s">
        <v>1147</v>
      </c>
      <c r="G306" s="3" t="s">
        <v>168</v>
      </c>
    </row>
    <row r="307" spans="1:7" x14ac:dyDescent="0.25">
      <c r="A307" s="4">
        <v>298</v>
      </c>
      <c r="C307" s="3" t="s">
        <v>771</v>
      </c>
      <c r="D307" s="3" t="s">
        <v>772</v>
      </c>
      <c r="F307" s="3" t="s">
        <v>1147</v>
      </c>
      <c r="G307" s="3" t="s">
        <v>168</v>
      </c>
    </row>
    <row r="308" spans="1:7" x14ac:dyDescent="0.25">
      <c r="A308" s="4">
        <v>299</v>
      </c>
      <c r="C308" s="3" t="s">
        <v>773</v>
      </c>
      <c r="D308" s="3" t="s">
        <v>774</v>
      </c>
      <c r="F308" s="3" t="s">
        <v>1147</v>
      </c>
      <c r="G308" s="3" t="s">
        <v>168</v>
      </c>
    </row>
    <row r="309" spans="1:7" x14ac:dyDescent="0.25">
      <c r="A309" s="4">
        <v>300</v>
      </c>
      <c r="B309" s="3" t="s">
        <v>1069</v>
      </c>
      <c r="C309" s="3" t="s">
        <v>775</v>
      </c>
      <c r="D309" s="3" t="s">
        <v>776</v>
      </c>
      <c r="E309" s="3" t="s">
        <v>777</v>
      </c>
      <c r="F309" s="3" t="s">
        <v>1147</v>
      </c>
      <c r="G309" s="3" t="s">
        <v>168</v>
      </c>
    </row>
    <row r="310" spans="1:7" x14ac:dyDescent="0.25">
      <c r="A310" s="4">
        <v>301</v>
      </c>
      <c r="C310" s="3" t="s">
        <v>778</v>
      </c>
      <c r="D310" s="3" t="s">
        <v>779</v>
      </c>
      <c r="F310" s="3" t="s">
        <v>1147</v>
      </c>
      <c r="G310" s="3" t="s">
        <v>168</v>
      </c>
    </row>
    <row r="311" spans="1:7" x14ac:dyDescent="0.25">
      <c r="A311" s="4">
        <v>302</v>
      </c>
      <c r="C311" s="3" t="s">
        <v>780</v>
      </c>
      <c r="D311" s="3" t="s">
        <v>781</v>
      </c>
      <c r="F311" s="3" t="s">
        <v>1147</v>
      </c>
      <c r="G311" s="3" t="s">
        <v>168</v>
      </c>
    </row>
    <row r="312" spans="1:7" x14ac:dyDescent="0.25">
      <c r="A312" s="4">
        <v>303</v>
      </c>
      <c r="C312" s="3" t="s">
        <v>782</v>
      </c>
      <c r="D312" s="3" t="s">
        <v>783</v>
      </c>
      <c r="F312" s="3" t="s">
        <v>1147</v>
      </c>
      <c r="G312" s="3" t="s">
        <v>168</v>
      </c>
    </row>
    <row r="313" spans="1:7" x14ac:dyDescent="0.25">
      <c r="A313" s="4">
        <v>304</v>
      </c>
      <c r="C313" s="3" t="s">
        <v>784</v>
      </c>
      <c r="D313" s="3" t="s">
        <v>785</v>
      </c>
      <c r="F313" s="3" t="s">
        <v>1147</v>
      </c>
      <c r="G313" s="3" t="s">
        <v>168</v>
      </c>
    </row>
    <row r="314" spans="1:7" x14ac:dyDescent="0.25">
      <c r="A314" s="4">
        <v>305</v>
      </c>
      <c r="C314" s="3" t="s">
        <v>786</v>
      </c>
      <c r="D314" s="3" t="s">
        <v>787</v>
      </c>
      <c r="F314" s="3" t="s">
        <v>1147</v>
      </c>
      <c r="G314" s="3" t="s">
        <v>168</v>
      </c>
    </row>
    <row r="315" spans="1:7" x14ac:dyDescent="0.25">
      <c r="A315" s="4">
        <v>306</v>
      </c>
      <c r="C315" s="3" t="s">
        <v>788</v>
      </c>
      <c r="D315" s="3" t="s">
        <v>789</v>
      </c>
      <c r="F315" s="3" t="s">
        <v>1147</v>
      </c>
      <c r="G315" s="3" t="s">
        <v>168</v>
      </c>
    </row>
    <row r="316" spans="1:7" x14ac:dyDescent="0.25">
      <c r="A316" s="4">
        <v>307</v>
      </c>
      <c r="C316" s="3" t="s">
        <v>790</v>
      </c>
      <c r="D316" s="3" t="s">
        <v>791</v>
      </c>
      <c r="F316" s="3" t="s">
        <v>1147</v>
      </c>
      <c r="G316" s="3" t="s">
        <v>168</v>
      </c>
    </row>
    <row r="317" spans="1:7" x14ac:dyDescent="0.25">
      <c r="A317" s="4">
        <v>308</v>
      </c>
      <c r="C317" s="3" t="s">
        <v>792</v>
      </c>
      <c r="D317" s="3" t="s">
        <v>793</v>
      </c>
      <c r="F317" s="3" t="s">
        <v>1147</v>
      </c>
      <c r="G317" s="3" t="s">
        <v>168</v>
      </c>
    </row>
    <row r="318" spans="1:7" x14ac:dyDescent="0.25">
      <c r="A318" s="4">
        <v>309</v>
      </c>
      <c r="C318" s="3" t="s">
        <v>794</v>
      </c>
      <c r="D318" s="3" t="s">
        <v>795</v>
      </c>
      <c r="F318" s="3" t="s">
        <v>1147</v>
      </c>
      <c r="G318" s="3" t="s">
        <v>168</v>
      </c>
    </row>
    <row r="319" spans="1:7" x14ac:dyDescent="0.25">
      <c r="A319" s="4">
        <v>310</v>
      </c>
      <c r="C319" s="3" t="s">
        <v>796</v>
      </c>
      <c r="D319" s="3" t="s">
        <v>797</v>
      </c>
      <c r="F319" s="3" t="s">
        <v>1147</v>
      </c>
      <c r="G319" s="3" t="s">
        <v>168</v>
      </c>
    </row>
    <row r="320" spans="1:7" x14ac:dyDescent="0.25">
      <c r="A320" s="4">
        <v>311</v>
      </c>
      <c r="C320" s="3" t="s">
        <v>798</v>
      </c>
      <c r="D320" s="3" t="s">
        <v>799</v>
      </c>
      <c r="F320" s="3" t="s">
        <v>1147</v>
      </c>
      <c r="G320" s="3" t="s">
        <v>168</v>
      </c>
    </row>
    <row r="321" spans="1:7" x14ac:dyDescent="0.25">
      <c r="A321" s="4">
        <v>312</v>
      </c>
      <c r="C321" s="3" t="s">
        <v>800</v>
      </c>
      <c r="D321" s="3" t="s">
        <v>801</v>
      </c>
      <c r="F321" s="3" t="s">
        <v>1147</v>
      </c>
      <c r="G321" s="3" t="s">
        <v>168</v>
      </c>
    </row>
    <row r="322" spans="1:7" x14ac:dyDescent="0.25">
      <c r="A322" s="4">
        <v>313</v>
      </c>
      <c r="B322" s="3" t="s">
        <v>1069</v>
      </c>
      <c r="C322" s="3" t="s">
        <v>802</v>
      </c>
      <c r="D322" s="3" t="s">
        <v>803</v>
      </c>
      <c r="F322" s="3" t="s">
        <v>1147</v>
      </c>
      <c r="G322" s="3" t="s">
        <v>168</v>
      </c>
    </row>
    <row r="323" spans="1:7" x14ac:dyDescent="0.25">
      <c r="A323" s="4">
        <v>314</v>
      </c>
      <c r="B323" s="3" t="s">
        <v>1069</v>
      </c>
      <c r="C323" s="3" t="s">
        <v>804</v>
      </c>
      <c r="D323" s="3" t="s">
        <v>805</v>
      </c>
      <c r="F323" s="3" t="s">
        <v>1147</v>
      </c>
      <c r="G323" s="3" t="s">
        <v>168</v>
      </c>
    </row>
    <row r="324" spans="1:7" x14ac:dyDescent="0.25">
      <c r="A324" s="4">
        <v>315</v>
      </c>
      <c r="C324" s="3" t="s">
        <v>806</v>
      </c>
      <c r="D324" s="3" t="s">
        <v>807</v>
      </c>
      <c r="F324" s="3" t="s">
        <v>1147</v>
      </c>
      <c r="G324" s="3" t="s">
        <v>168</v>
      </c>
    </row>
    <row r="325" spans="1:7" x14ac:dyDescent="0.25">
      <c r="A325" s="4">
        <v>316</v>
      </c>
      <c r="C325" s="3" t="s">
        <v>808</v>
      </c>
      <c r="D325" s="3" t="s">
        <v>809</v>
      </c>
      <c r="F325" s="3" t="s">
        <v>1147</v>
      </c>
      <c r="G325" s="3" t="s">
        <v>168</v>
      </c>
    </row>
    <row r="326" spans="1:7" x14ac:dyDescent="0.25">
      <c r="A326" s="4">
        <v>317</v>
      </c>
      <c r="C326" s="3" t="s">
        <v>810</v>
      </c>
      <c r="D326" s="3" t="s">
        <v>811</v>
      </c>
      <c r="F326" s="3" t="s">
        <v>1147</v>
      </c>
      <c r="G326" s="3" t="s">
        <v>168</v>
      </c>
    </row>
    <row r="327" spans="1:7" x14ac:dyDescent="0.25">
      <c r="A327" s="4">
        <v>318</v>
      </c>
      <c r="C327" s="3" t="s">
        <v>812</v>
      </c>
      <c r="D327" s="3" t="s">
        <v>813</v>
      </c>
      <c r="F327" s="3" t="s">
        <v>1147</v>
      </c>
      <c r="G327" s="3" t="s">
        <v>168</v>
      </c>
    </row>
    <row r="328" spans="1:7" x14ac:dyDescent="0.25">
      <c r="A328" s="4">
        <v>319</v>
      </c>
      <c r="C328" s="3" t="s">
        <v>814</v>
      </c>
      <c r="D328" s="3" t="s">
        <v>815</v>
      </c>
      <c r="F328" s="3" t="s">
        <v>1147</v>
      </c>
      <c r="G328" s="3" t="s">
        <v>168</v>
      </c>
    </row>
    <row r="329" spans="1:7" x14ac:dyDescent="0.25">
      <c r="A329" s="4">
        <v>320</v>
      </c>
      <c r="C329" s="3" t="s">
        <v>816</v>
      </c>
      <c r="D329" s="3" t="s">
        <v>817</v>
      </c>
      <c r="F329" s="3" t="s">
        <v>1147</v>
      </c>
      <c r="G329" s="3" t="s">
        <v>168</v>
      </c>
    </row>
    <row r="330" spans="1:7" x14ac:dyDescent="0.25">
      <c r="A330" s="4">
        <v>321</v>
      </c>
      <c r="C330" s="3" t="s">
        <v>818</v>
      </c>
      <c r="D330" s="3" t="s">
        <v>819</v>
      </c>
      <c r="F330" s="3" t="s">
        <v>1147</v>
      </c>
      <c r="G330" s="3" t="s">
        <v>168</v>
      </c>
    </row>
    <row r="331" spans="1:7" x14ac:dyDescent="0.25">
      <c r="A331" s="4">
        <v>322</v>
      </c>
      <c r="C331" s="3" t="s">
        <v>820</v>
      </c>
      <c r="D331" s="3" t="s">
        <v>821</v>
      </c>
      <c r="F331" s="3" t="s">
        <v>1147</v>
      </c>
      <c r="G331" s="3" t="s">
        <v>168</v>
      </c>
    </row>
    <row r="332" spans="1:7" x14ac:dyDescent="0.25">
      <c r="A332" s="4">
        <v>323</v>
      </c>
      <c r="C332" s="3" t="s">
        <v>822</v>
      </c>
      <c r="D332" s="3" t="s">
        <v>823</v>
      </c>
      <c r="F332" s="3" t="s">
        <v>1147</v>
      </c>
      <c r="G332" s="3" t="s">
        <v>168</v>
      </c>
    </row>
    <row r="333" spans="1:7" x14ac:dyDescent="0.25">
      <c r="A333" s="4">
        <v>324</v>
      </c>
      <c r="C333" s="3" t="s">
        <v>824</v>
      </c>
      <c r="D333" s="3" t="s">
        <v>825</v>
      </c>
      <c r="F333" s="3" t="s">
        <v>1147</v>
      </c>
      <c r="G333" s="3" t="s">
        <v>168</v>
      </c>
    </row>
    <row r="334" spans="1:7" x14ac:dyDescent="0.25">
      <c r="A334" s="4">
        <v>325</v>
      </c>
      <c r="C334" s="3" t="s">
        <v>826</v>
      </c>
      <c r="D334" s="3" t="s">
        <v>827</v>
      </c>
      <c r="F334" s="3" t="s">
        <v>1147</v>
      </c>
      <c r="G334" s="3" t="s">
        <v>168</v>
      </c>
    </row>
    <row r="335" spans="1:7" x14ac:dyDescent="0.25">
      <c r="A335" s="4">
        <v>326</v>
      </c>
      <c r="C335" s="3" t="s">
        <v>828</v>
      </c>
      <c r="D335" s="3" t="s">
        <v>829</v>
      </c>
      <c r="F335" s="3" t="s">
        <v>1147</v>
      </c>
      <c r="G335" s="3" t="s">
        <v>168</v>
      </c>
    </row>
    <row r="336" spans="1:7" x14ac:dyDescent="0.25">
      <c r="A336" s="4">
        <v>327</v>
      </c>
      <c r="C336" s="3" t="s">
        <v>830</v>
      </c>
      <c r="D336" s="3" t="s">
        <v>831</v>
      </c>
      <c r="F336" s="3" t="s">
        <v>1147</v>
      </c>
      <c r="G336" s="3" t="s">
        <v>168</v>
      </c>
    </row>
    <row r="337" spans="1:7" x14ac:dyDescent="0.25">
      <c r="A337" s="4">
        <v>328</v>
      </c>
      <c r="C337" s="3" t="s">
        <v>832</v>
      </c>
      <c r="D337" s="3" t="s">
        <v>833</v>
      </c>
      <c r="F337" s="3" t="s">
        <v>1147</v>
      </c>
      <c r="G337" s="3" t="s">
        <v>168</v>
      </c>
    </row>
    <row r="338" spans="1:7" x14ac:dyDescent="0.25">
      <c r="A338" s="4">
        <v>329</v>
      </c>
      <c r="C338" s="3" t="s">
        <v>834</v>
      </c>
      <c r="D338" s="3" t="s">
        <v>835</v>
      </c>
      <c r="F338" s="3" t="s">
        <v>1147</v>
      </c>
      <c r="G338" s="3" t="s">
        <v>168</v>
      </c>
    </row>
    <row r="339" spans="1:7" x14ac:dyDescent="0.25">
      <c r="A339" s="4">
        <v>330</v>
      </c>
      <c r="B339" s="3" t="s">
        <v>1069</v>
      </c>
      <c r="C339" s="3" t="s">
        <v>836</v>
      </c>
      <c r="D339" s="3" t="s">
        <v>837</v>
      </c>
      <c r="E339" s="3" t="s">
        <v>838</v>
      </c>
      <c r="F339" s="3" t="s">
        <v>1147</v>
      </c>
      <c r="G339" s="3" t="s">
        <v>168</v>
      </c>
    </row>
    <row r="340" spans="1:7" x14ac:dyDescent="0.25">
      <c r="A340" s="4">
        <v>331</v>
      </c>
      <c r="C340" s="3" t="s">
        <v>839</v>
      </c>
      <c r="D340" s="3" t="s">
        <v>840</v>
      </c>
      <c r="F340" s="3" t="s">
        <v>1147</v>
      </c>
      <c r="G340" s="3" t="s">
        <v>168</v>
      </c>
    </row>
    <row r="341" spans="1:7" x14ac:dyDescent="0.25">
      <c r="A341" s="4">
        <v>332</v>
      </c>
      <c r="B341" s="3" t="s">
        <v>1069</v>
      </c>
      <c r="C341" s="3" t="s">
        <v>841</v>
      </c>
      <c r="D341" s="3" t="s">
        <v>842</v>
      </c>
      <c r="E341" s="3" t="s">
        <v>843</v>
      </c>
      <c r="F341" s="3" t="s">
        <v>1147</v>
      </c>
      <c r="G341" s="3" t="s">
        <v>168</v>
      </c>
    </row>
    <row r="342" spans="1:7" x14ac:dyDescent="0.25">
      <c r="A342" s="4">
        <v>333</v>
      </c>
      <c r="C342" s="3" t="s">
        <v>844</v>
      </c>
      <c r="D342" s="3" t="s">
        <v>845</v>
      </c>
      <c r="F342" s="3" t="s">
        <v>1147</v>
      </c>
      <c r="G342" s="3" t="s">
        <v>168</v>
      </c>
    </row>
    <row r="343" spans="1:7" x14ac:dyDescent="0.25">
      <c r="A343" s="4">
        <v>334</v>
      </c>
      <c r="C343" s="3" t="s">
        <v>846</v>
      </c>
      <c r="D343" s="3" t="s">
        <v>847</v>
      </c>
      <c r="F343" s="3" t="s">
        <v>1147</v>
      </c>
      <c r="G343" s="3" t="s">
        <v>168</v>
      </c>
    </row>
    <row r="344" spans="1:7" x14ac:dyDescent="0.25">
      <c r="A344" s="4">
        <v>335</v>
      </c>
      <c r="C344" s="3" t="s">
        <v>848</v>
      </c>
      <c r="D344" s="3" t="s">
        <v>849</v>
      </c>
      <c r="F344" s="3" t="s">
        <v>1147</v>
      </c>
      <c r="G344" s="3" t="s">
        <v>168</v>
      </c>
    </row>
    <row r="345" spans="1:7" x14ac:dyDescent="0.25">
      <c r="A345" s="4">
        <v>336</v>
      </c>
      <c r="C345" s="3" t="s">
        <v>850</v>
      </c>
      <c r="D345" s="3" t="s">
        <v>851</v>
      </c>
      <c r="F345" s="3" t="s">
        <v>1147</v>
      </c>
      <c r="G345" s="3" t="s">
        <v>168</v>
      </c>
    </row>
    <row r="346" spans="1:7" x14ac:dyDescent="0.25">
      <c r="A346" s="4">
        <v>337</v>
      </c>
      <c r="C346" s="3" t="s">
        <v>852</v>
      </c>
      <c r="D346" s="3" t="s">
        <v>853</v>
      </c>
      <c r="F346" s="3" t="s">
        <v>1147</v>
      </c>
      <c r="G346" s="3" t="s">
        <v>168</v>
      </c>
    </row>
    <row r="347" spans="1:7" x14ac:dyDescent="0.25">
      <c r="A347" s="4">
        <v>338</v>
      </c>
      <c r="B347" s="3" t="s">
        <v>1069</v>
      </c>
      <c r="C347" s="3" t="s">
        <v>854</v>
      </c>
      <c r="D347" s="3" t="s">
        <v>855</v>
      </c>
      <c r="E347" s="3" t="s">
        <v>856</v>
      </c>
      <c r="F347" s="3" t="s">
        <v>1147</v>
      </c>
      <c r="G347" s="3" t="s">
        <v>168</v>
      </c>
    </row>
    <row r="348" spans="1:7" x14ac:dyDescent="0.25">
      <c r="A348" s="4">
        <v>339</v>
      </c>
      <c r="B348" s="3" t="s">
        <v>1069</v>
      </c>
      <c r="C348" s="3" t="s">
        <v>857</v>
      </c>
      <c r="D348" s="3" t="s">
        <v>858</v>
      </c>
      <c r="F348" s="3" t="s">
        <v>1147</v>
      </c>
      <c r="G348" s="3" t="s">
        <v>168</v>
      </c>
    </row>
    <row r="349" spans="1:7" x14ac:dyDescent="0.25">
      <c r="A349" s="4">
        <v>340</v>
      </c>
      <c r="C349" s="3" t="s">
        <v>859</v>
      </c>
      <c r="D349" s="3" t="s">
        <v>860</v>
      </c>
      <c r="E349" s="3" t="s">
        <v>861</v>
      </c>
      <c r="F349" s="3" t="s">
        <v>1147</v>
      </c>
      <c r="G349" s="3" t="s">
        <v>168</v>
      </c>
    </row>
    <row r="350" spans="1:7" x14ac:dyDescent="0.25">
      <c r="A350" s="4">
        <v>341</v>
      </c>
      <c r="B350" s="3" t="s">
        <v>1069</v>
      </c>
      <c r="C350" s="3" t="s">
        <v>862</v>
      </c>
      <c r="D350" s="3" t="s">
        <v>863</v>
      </c>
      <c r="E350" s="3" t="s">
        <v>864</v>
      </c>
      <c r="F350" s="3" t="s">
        <v>1147</v>
      </c>
      <c r="G350" s="3" t="s">
        <v>168</v>
      </c>
    </row>
    <row r="351" spans="1:7" x14ac:dyDescent="0.25">
      <c r="A351" s="4">
        <v>342</v>
      </c>
      <c r="C351" s="3" t="s">
        <v>865</v>
      </c>
      <c r="D351" s="3" t="s">
        <v>866</v>
      </c>
      <c r="F351" s="3" t="s">
        <v>1147</v>
      </c>
      <c r="G351" s="3" t="s">
        <v>168</v>
      </c>
    </row>
    <row r="352" spans="1:7" x14ac:dyDescent="0.25">
      <c r="A352" s="4">
        <v>343</v>
      </c>
      <c r="B352" s="3" t="s">
        <v>1069</v>
      </c>
      <c r="C352" s="3" t="s">
        <v>867</v>
      </c>
      <c r="D352" s="3" t="s">
        <v>868</v>
      </c>
      <c r="E352" s="3" t="s">
        <v>869</v>
      </c>
      <c r="F352" s="3" t="s">
        <v>1147</v>
      </c>
      <c r="G352" s="3" t="s">
        <v>168</v>
      </c>
    </row>
    <row r="353" spans="1:7" x14ac:dyDescent="0.25">
      <c r="A353" s="4">
        <v>344</v>
      </c>
      <c r="C353" s="3" t="s">
        <v>870</v>
      </c>
      <c r="D353" s="3" t="s">
        <v>871</v>
      </c>
      <c r="F353" s="3" t="s">
        <v>1147</v>
      </c>
      <c r="G353" s="3" t="s">
        <v>168</v>
      </c>
    </row>
    <row r="354" spans="1:7" x14ac:dyDescent="0.25">
      <c r="A354" s="4">
        <v>345</v>
      </c>
      <c r="B354" s="3" t="s">
        <v>1070</v>
      </c>
      <c r="C354" s="3" t="s">
        <v>872</v>
      </c>
      <c r="D354" s="3" t="s">
        <v>873</v>
      </c>
      <c r="E354" s="3" t="s">
        <v>1052</v>
      </c>
      <c r="F354" s="3" t="s">
        <v>1147</v>
      </c>
      <c r="G354" s="3" t="s">
        <v>168</v>
      </c>
    </row>
  </sheetData>
  <hyperlinks>
    <hyperlink ref="B1" location="WS_Navigation!B2" tooltip="go to navigation sheet" display="Navigate to Worksheet TOC (table of contents)" xr:uid="{C5BAD80C-4912-4252-B3F9-ABD51B65D65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Line="0" autoPict="0" macro="[1]!mMacros">
                <anchor>
                  <from>
                    <xdr:col>3</xdr:col>
                    <xdr:colOff>847725</xdr:colOff>
                    <xdr:row>4</xdr:row>
                    <xdr:rowOff>161925</xdr:rowOff>
                  </from>
                  <to>
                    <xdr:col>3</xdr:col>
                    <xdr:colOff>2333625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HelpNotes</vt:lpstr>
      <vt:lpstr>WS_Navigation</vt:lpstr>
      <vt:lpstr>MainMenu</vt:lpstr>
      <vt:lpstr>1_OrbDefCalc</vt:lpstr>
      <vt:lpstr>2_ParmPoint</vt:lpstr>
      <vt:lpstr>3_GndTrack</vt:lpstr>
      <vt:lpstr>4_PlanePertur</vt:lpstr>
      <vt:lpstr>5_Utilities</vt:lpstr>
      <vt:lpstr>6_MissionPlan</vt:lpstr>
      <vt:lpstr>EphemTbls</vt:lpstr>
      <vt:lpstr>msnReport1</vt:lpstr>
      <vt:lpstr>AstroConstants</vt:lpstr>
      <vt:lpstr>UseCases</vt:lpstr>
      <vt:lpstr>M_Macros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belue</dc:creator>
  <cp:lastModifiedBy>belue</cp:lastModifiedBy>
  <dcterms:created xsi:type="dcterms:W3CDTF">2022-08-28T02:46:14Z</dcterms:created>
  <dcterms:modified xsi:type="dcterms:W3CDTF">2023-01-16T20:24:06Z</dcterms:modified>
</cp:coreProperties>
</file>